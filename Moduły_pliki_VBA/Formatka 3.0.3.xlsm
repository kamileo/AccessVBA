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6.xml" ContentType="application/vnd.openxmlformats-officedocument.drawing+xml"/>
  <Override PartName="/xl/tables/table15.xml" ContentType="application/vnd.openxmlformats-officedocument.spreadsheetml.table+xml"/>
  <Override PartName="/xl/drawings/drawing7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\\WAWFS01\Groups$\All\Klient Sieciowy\KALKULACJE\Nowa procedura nazywania plików\"/>
    </mc:Choice>
  </mc:AlternateContent>
  <bookViews>
    <workbookView xWindow="0" yWindow="0" windowWidth="19200" windowHeight="8016" tabRatio="842" firstSheet="4" activeTab="5"/>
  </bookViews>
  <sheets>
    <sheet name="INTRO" sheetId="26" state="veryHidden" r:id="rId1"/>
    <sheet name="Listy_rozwijane" sheetId="13" state="veryHidden" r:id="rId2"/>
    <sheet name="Segmenty (2)" sheetId="28" state="veryHidden" r:id="rId3"/>
    <sheet name="Segmenty" sheetId="14" state="veryHidden" r:id="rId4"/>
    <sheet name="Tabela informacyjna" sheetId="25" r:id="rId5"/>
    <sheet name="KSO_odpady" sheetId="6" r:id="rId6"/>
    <sheet name="Obsługa_sprzęt" sheetId="7" r:id="rId7"/>
    <sheet name="Obsługa_ludzie" sheetId="20" r:id="rId8"/>
    <sheet name="EYDTOWANE PRZEZ" sheetId="23" state="veryHidden" r:id="rId9"/>
    <sheet name="Podsumowanie na rok" sheetId="8" state="hidden" r:id="rId10"/>
    <sheet name="Podsumowanie na konrakt" sheetId="21" r:id="rId11"/>
    <sheet name="Kursy" sheetId="29" state="veryHidden" r:id="rId12"/>
    <sheet name="Nagłówki" sheetId="24" state="veryHidden" r:id="rId13"/>
    <sheet name="Cennik do oferty" sheetId="11" state="hidden" r:id="rId14"/>
    <sheet name="Kody_odpadów" sheetId="12" state="veryHidden" r:id="rId15"/>
  </sheets>
  <externalReferences>
    <externalReference r:id="rId16"/>
    <externalReference r:id="rId17"/>
  </externalReferences>
  <definedNames>
    <definedName name="_xlnm._FilterDatabase" localSheetId="14" hidden="1">Kody_odpadów!$A$1:$C$920</definedName>
    <definedName name="_xlnm._FilterDatabase" localSheetId="1" hidden="1">Listy_rozwijane!$W$1:$Y$127</definedName>
    <definedName name="_xlnm._FilterDatabase" localSheetId="3" hidden="1">Segmenty!$S$1:$Y$972</definedName>
    <definedName name="AFF">'Segmenty (2)'!$H$2:$H$4</definedName>
    <definedName name="AFSA">'Segmenty (2)'!$L$101:$L$102</definedName>
    <definedName name="ATAA">'Segmenty (2)'!$J$59:$J$61</definedName>
    <definedName name="BAS">'Segmenty (2)'!$L$30:$L$33</definedName>
    <definedName name="BR">'Segmenty (2)'!$L$61:$L$63</definedName>
    <definedName name="CAAPHARSA">'Segmenty (2)'!$J$2:$J$4</definedName>
    <definedName name="CAD">'Segmenty (2)'!$L$82:$L$84</definedName>
    <definedName name="CAP">'Segmenty (2)'!$J$34:$J$38</definedName>
    <definedName name="CDM">'Segmenty (2)'!$J$49:$J$52</definedName>
    <definedName name="Cena">Listy_rozwijane!$M$2:$M$5</definedName>
    <definedName name="czass">Listy_rozwijane!$O$9:$O$130</definedName>
    <definedName name="DACSS">'Segmenty (2)'!$H$34:$H$37</definedName>
    <definedName name="DAIRY">'Segmenty (2)'!$L$10:$L$13</definedName>
    <definedName name="DaneZewnętrzne_1" localSheetId="11" hidden="1">Kursy!$A$1:$P$36</definedName>
    <definedName name="DOWNSTREAM">'Segmenty (2)'!$L$6:$L$7</definedName>
    <definedName name="EAEP">'Segmenty (2)'!$J$55:$J$56</definedName>
    <definedName name="EPBRS">'Segmenty (2)'!$J$108:$J$110</definedName>
    <definedName name="ES">'Segmenty (2)'!$J$46</definedName>
    <definedName name="FAB">'Segmenty (2)'!$J$19:$J$24</definedName>
    <definedName name="FAV">'Segmenty (2)'!$L$23:$L$27</definedName>
    <definedName name="FSAFC">'Segmenty (2)'!$L$54:$L$58</definedName>
    <definedName name="HAAC">'Segmenty (2)'!$L$118:$L$119</definedName>
    <definedName name="handl_">Listy_rozwijane!$A$3:$A$10</definedName>
    <definedName name="HASWA">'Segmenty (2)'!$J$92:$J$94</definedName>
    <definedName name="HOSPITALS">'Segmenty (2)'!$L$114:$L$115</definedName>
    <definedName name="IBC">'Segmenty (2)'!$L$41:$L$45</definedName>
    <definedName name="INDUSTRY">'Segmenty (2)'!$H$7:$H$18</definedName>
    <definedName name="kod_odpadu" localSheetId="3">#REF!</definedName>
    <definedName name="kod_odpadu" localSheetId="2">#REF!</definedName>
    <definedName name="kododp" localSheetId="14">Kody_odpadów!$A$2:$A$920</definedName>
    <definedName name="Kody" localSheetId="14">Kody_odpadów!$A$2:$A$920</definedName>
    <definedName name="Kody_odpadów" localSheetId="11">[1]Kody_odpadów!$A$2:$A$920</definedName>
    <definedName name="Kody_odpadów">Kody_odpadów!$A$2:$A$920</definedName>
    <definedName name="MAQ">'Segmenty (2)'!$J$7:$J$8</definedName>
    <definedName name="Market">'Segmenty (2)'!$F$2:$F$8</definedName>
    <definedName name="MATERIALS">'Segmenty (2)'!$L$77:$L$79</definedName>
    <definedName name="MEAT">'Segmenty (2)'!$L$16:$L$20</definedName>
    <definedName name="METALLURGY">'Segmenty (2)'!$J$11:$J$12</definedName>
    <definedName name="MOCCEAOP">'Segmenty (2)'!$L$133:$L$134</definedName>
    <definedName name="MOCEAOP">'Segmenty (2)'!$L$87:$L$88</definedName>
    <definedName name="OAS">'Segmenty (2)'!$J$15:$J$16</definedName>
    <definedName name="OBCAP">'Segmenty (2)'!$L$48:$L$51</definedName>
    <definedName name="Obsługa" localSheetId="7">Listy_rozwijane!$O$2:$O$4</definedName>
    <definedName name="Obsługa" localSheetId="6">Listy_rozwijane!$O$2:$O$4</definedName>
    <definedName name="OM">'Segmenty (2)'!$J$64:$J$66</definedName>
    <definedName name="OPAC">'Segmenty (2)'!$J$117:$J$122</definedName>
    <definedName name="OPS">'Segmenty (2)'!$L$110:$L$111</definedName>
    <definedName name="OPSM">'Segmenty (2)'!$H$27:$H$31</definedName>
    <definedName name="PADOE">'Segmenty (2)'!$L$70:$L$74</definedName>
    <definedName name="PAP">'Segmenty (2)'!$J$27:$J$31</definedName>
    <definedName name="PCPAD">'Segmenty (2)'!$J$103:$J$104</definedName>
    <definedName name="PHARMACEUTICAL">'Segmenty (2)'!$L$66:$L$67</definedName>
    <definedName name="PO_">Listy_rozwijane!$E$2:$E$3</definedName>
    <definedName name="POWER">'Segmenty (2)'!$J$41:$J$43</definedName>
    <definedName name="PPAC">'Segmenty (2)'!$L$36:$L$38</definedName>
    <definedName name="PRACOWNICY">Listy_rozwijane!$K$2:$K$3</definedName>
    <definedName name="PS">'Segmenty (2)'!$J$80:$J$89</definedName>
    <definedName name="PU">'Segmenty (2)'!$J$113:$J$114</definedName>
    <definedName name="PWU">'Segmenty (2)'!$L$122:$L$130</definedName>
    <definedName name="RAS">'Segmenty (2)'!$H$21:$H$24</definedName>
    <definedName name="REAAAS">'Segmenty (2)'!$L$105:$L$107</definedName>
    <definedName name="Sector_1">OFFSET([2]Dane!$K$8,1,0,COUNTA([2]Dane!$K$9:$K$21),1)</definedName>
    <definedName name="Sector_2">OFFSET([2]Dane!$H$8,MATCH('[2]2015'!XFA1,[2]Dane!$G$9:$G$37,0),0,COUNTIF([2]Dane!$G$9:$G$37,'[2]2015'!XFA1),1)</definedName>
    <definedName name="Sector_3">OFFSET([2]Dane!$D$8,MATCH('[2]2015'!XEZ1&amp;'[2]2015'!XFA1,[2]Dane!$B$9:$B$100&amp;[2]Dane!$C$9:$C$100,0),0,COUNTIFS([2]Dane!$B$9:$B$100,'[2]2015'!XEZ1,[2]Dane!$C$9:$C$100,'[2]2015'!XFA1),1)</definedName>
    <definedName name="sektory" localSheetId="3">Segmenty!$C$64:$C$72</definedName>
    <definedName name="sektory" localSheetId="2">'Segmenty (2)'!$C$58:$C$66</definedName>
    <definedName name="TA">'Segmenty (2)'!$J$97:$J$100</definedName>
    <definedName name="TAS">'Segmenty (2)'!$J$73:$J$77</definedName>
    <definedName name="UPSTREAM">'Segmenty (2)'!$L$3</definedName>
    <definedName name="WRT">'Segmenty (2)'!$J$69:$J$70</definedName>
    <definedName name="WRTF">'Segmenty (2)'!$L$91:$L$93</definedName>
    <definedName name="WRTN">'Segmenty (2)'!$L$96:$L$98</definedName>
    <definedName name="Wskaźniki">Listy_rozwijane!$Q$1:$Q$8</definedName>
    <definedName name="Wynajem">Listy_rozwijane!$O$2:$O$4</definedName>
    <definedName name="Wynajem2">Listy_rozwijane!$O$2:$O$4</definedName>
  </definedNames>
  <calcPr calcId="171027"/>
</workbook>
</file>

<file path=xl/calcChain.xml><?xml version="1.0" encoding="utf-8"?>
<calcChain xmlns="http://schemas.openxmlformats.org/spreadsheetml/2006/main">
  <c r="P37" i="29" l="1"/>
  <c r="BU23" i="6" l="1"/>
  <c r="BU22" i="6"/>
  <c r="BY23" i="6" l="1"/>
  <c r="BY22" i="6"/>
  <c r="BX23" i="6"/>
  <c r="BX22" i="6"/>
  <c r="BW23" i="6"/>
  <c r="BW22" i="6"/>
  <c r="BY24" i="6"/>
  <c r="BX24" i="6"/>
  <c r="BW24" i="6"/>
  <c r="BV24" i="6"/>
  <c r="BU24" i="6"/>
  <c r="BV23" i="6"/>
  <c r="BV22" i="6"/>
  <c r="BT23" i="6"/>
  <c r="BT24" i="6"/>
  <c r="BZ23" i="6"/>
  <c r="BZ22" i="6"/>
  <c r="E36" i="20" l="1"/>
  <c r="E31" i="7" l="1"/>
  <c r="O16" i="7" l="1"/>
  <c r="O15" i="7"/>
  <c r="O14" i="7"/>
  <c r="O13" i="7"/>
  <c r="O12" i="7"/>
  <c r="O11" i="7"/>
  <c r="O10" i="7"/>
  <c r="O9" i="7"/>
  <c r="O8" i="7"/>
  <c r="O7" i="7"/>
  <c r="O6" i="7"/>
  <c r="R5" i="7"/>
  <c r="S5" i="7" s="1"/>
  <c r="U5" i="7" s="1"/>
  <c r="N5" i="7"/>
  <c r="O5" i="7" s="1"/>
  <c r="CN11" i="6"/>
  <c r="CN12" i="6"/>
  <c r="CN13" i="6"/>
  <c r="CN14" i="6"/>
  <c r="CN15" i="6"/>
  <c r="CN16" i="6"/>
  <c r="CN17" i="6"/>
  <c r="CZ3" i="24" l="1"/>
  <c r="CZ4" i="24"/>
  <c r="DF19" i="24" l="1"/>
  <c r="DF1" i="24"/>
  <c r="DF2" i="24"/>
  <c r="DF3" i="24"/>
  <c r="DF4" i="24"/>
  <c r="E19" i="24" l="1"/>
  <c r="K19" i="24"/>
  <c r="P19" i="24"/>
  <c r="R19" i="24"/>
  <c r="Z19" i="24"/>
  <c r="AB19" i="24"/>
  <c r="AL19" i="24"/>
  <c r="AX19" i="24"/>
  <c r="BM19" i="24"/>
  <c r="BQ19" i="24"/>
  <c r="CB19" i="24"/>
  <c r="CI19" i="24"/>
  <c r="CJ19" i="24"/>
  <c r="CK19" i="24"/>
  <c r="CL19" i="24"/>
  <c r="CM19" i="24"/>
  <c r="CN19" i="24"/>
  <c r="CO19" i="24"/>
  <c r="CP19" i="24"/>
  <c r="CQ19" i="24"/>
  <c r="CR19" i="24"/>
  <c r="CS19" i="24"/>
  <c r="CT19" i="24"/>
  <c r="CU19" i="24"/>
  <c r="CV19" i="24"/>
  <c r="CW19" i="24"/>
  <c r="CX19" i="24"/>
  <c r="CY19" i="24"/>
  <c r="CZ19" i="24"/>
  <c r="DA19" i="24"/>
  <c r="DB19" i="24"/>
  <c r="DC19" i="24"/>
  <c r="DD19" i="24"/>
  <c r="DE19" i="24"/>
  <c r="CC4" i="24"/>
  <c r="CD4" i="24"/>
  <c r="CE4" i="24"/>
  <c r="CF4" i="24"/>
  <c r="CG4" i="24"/>
  <c r="CH4" i="24"/>
  <c r="CI4" i="24"/>
  <c r="CJ4" i="24"/>
  <c r="CK4" i="24"/>
  <c r="CL4" i="24"/>
  <c r="CM4" i="24"/>
  <c r="AN4" i="24"/>
  <c r="D4" i="24"/>
  <c r="K4" i="24"/>
  <c r="L4" i="24"/>
  <c r="M4" i="24"/>
  <c r="N4" i="24"/>
  <c r="O4" i="24"/>
  <c r="P4" i="24"/>
  <c r="R4" i="24"/>
  <c r="S4" i="24"/>
  <c r="T4" i="24"/>
  <c r="U4" i="24"/>
  <c r="V4" i="24"/>
  <c r="W4" i="24"/>
  <c r="X4" i="24"/>
  <c r="Y4" i="24"/>
  <c r="Z4" i="24"/>
  <c r="AB4" i="24"/>
  <c r="AC4" i="24"/>
  <c r="AD4" i="24"/>
  <c r="AE4" i="24"/>
  <c r="AF4" i="24"/>
  <c r="AG4" i="24"/>
  <c r="AH4" i="24"/>
  <c r="AI4" i="24"/>
  <c r="AJ4" i="24"/>
  <c r="AK4" i="24"/>
  <c r="AL4" i="24"/>
  <c r="AM4" i="24"/>
  <c r="AP4" i="24"/>
  <c r="AQ4" i="24"/>
  <c r="AR4" i="24"/>
  <c r="AS4" i="24"/>
  <c r="AT4" i="24"/>
  <c r="AU4" i="24"/>
  <c r="AV4" i="24"/>
  <c r="AW4" i="24"/>
  <c r="AX4" i="24"/>
  <c r="AY4" i="24"/>
  <c r="AZ4" i="24"/>
  <c r="BA4" i="24"/>
  <c r="BB4" i="24"/>
  <c r="BC4" i="24"/>
  <c r="BD4" i="24"/>
  <c r="BE4" i="24"/>
  <c r="BF4" i="24"/>
  <c r="BG4" i="24"/>
  <c r="BH4" i="24"/>
  <c r="BI4" i="24"/>
  <c r="BJ4" i="24"/>
  <c r="BK4" i="24"/>
  <c r="BL4" i="24"/>
  <c r="BM4" i="24"/>
  <c r="BN4" i="24"/>
  <c r="BO4" i="24"/>
  <c r="BP4" i="24"/>
  <c r="BQ4" i="24"/>
  <c r="BR4" i="24"/>
  <c r="BS4" i="24"/>
  <c r="BT4" i="24"/>
  <c r="BU4" i="24"/>
  <c r="BV4" i="24"/>
  <c r="BW4" i="24"/>
  <c r="BX4" i="24"/>
  <c r="BY4" i="24"/>
  <c r="BZ4" i="24"/>
  <c r="CA4" i="24"/>
  <c r="CB4" i="24"/>
  <c r="CN4" i="24"/>
  <c r="DB4" i="24"/>
  <c r="DC4" i="24"/>
  <c r="DD4" i="24"/>
  <c r="DE4" i="24"/>
  <c r="DC3" i="24" l="1"/>
  <c r="DD3" i="24"/>
  <c r="DE3" i="24"/>
  <c r="AX3" i="24"/>
  <c r="AY3" i="24"/>
  <c r="AZ3" i="24"/>
  <c r="BA3" i="24"/>
  <c r="BB3" i="24"/>
  <c r="BC3" i="24"/>
  <c r="BD3" i="24"/>
  <c r="BE3" i="24"/>
  <c r="BF3" i="24"/>
  <c r="BG3" i="24"/>
  <c r="BH3" i="24"/>
  <c r="BI3" i="24"/>
  <c r="BJ3" i="24"/>
  <c r="K3" i="24"/>
  <c r="L3" i="24"/>
  <c r="M3" i="24"/>
  <c r="N3" i="24"/>
  <c r="O3" i="24"/>
  <c r="P3" i="24"/>
  <c r="R3" i="24"/>
  <c r="S3" i="24"/>
  <c r="T3" i="24"/>
  <c r="U3" i="24"/>
  <c r="V3" i="24"/>
  <c r="W3" i="24"/>
  <c r="X3" i="24"/>
  <c r="Y3" i="24"/>
  <c r="Z3" i="24"/>
  <c r="AB3" i="24"/>
  <c r="AC3" i="24"/>
  <c r="AD3" i="24"/>
  <c r="AE3" i="24"/>
  <c r="AF3" i="24"/>
  <c r="AG3" i="24"/>
  <c r="AH3" i="24"/>
  <c r="AI3" i="24"/>
  <c r="AJ3" i="24"/>
  <c r="AK3" i="24"/>
  <c r="AL3" i="24"/>
  <c r="BK3" i="24"/>
  <c r="BL3" i="24"/>
  <c r="BM3" i="24"/>
  <c r="BQ3" i="24"/>
  <c r="BR3" i="24"/>
  <c r="BS3" i="24"/>
  <c r="BT3" i="24"/>
  <c r="BU3" i="24"/>
  <c r="BV3" i="24"/>
  <c r="BW3" i="24"/>
  <c r="BX3" i="24"/>
  <c r="BY3" i="24"/>
  <c r="BZ3" i="24"/>
  <c r="CA3" i="24"/>
  <c r="CB3" i="24"/>
  <c r="CN3" i="24"/>
  <c r="D3" i="24"/>
  <c r="CL2" i="24"/>
  <c r="CM2" i="24"/>
  <c r="BH2" i="24"/>
  <c r="AY2" i="24"/>
  <c r="AZ2" i="24"/>
  <c r="BA2" i="24"/>
  <c r="BB2" i="24"/>
  <c r="BC2" i="24"/>
  <c r="BD2" i="24"/>
  <c r="BE2" i="24"/>
  <c r="BF2" i="24"/>
  <c r="BG2" i="24"/>
  <c r="BI2" i="24"/>
  <c r="BJ2" i="24"/>
  <c r="BK2" i="24"/>
  <c r="BL2" i="24"/>
  <c r="BR2" i="24"/>
  <c r="BS2" i="24"/>
  <c r="BT2" i="24"/>
  <c r="BU2" i="24"/>
  <c r="BV2" i="24"/>
  <c r="BW2" i="24"/>
  <c r="BX2" i="24"/>
  <c r="BY2" i="24"/>
  <c r="BZ2" i="24"/>
  <c r="CA2" i="24"/>
  <c r="D2" i="24"/>
  <c r="K2" i="24"/>
  <c r="L2" i="24"/>
  <c r="M2" i="24"/>
  <c r="N2" i="24"/>
  <c r="O2" i="24"/>
  <c r="P2" i="24"/>
  <c r="R2" i="24"/>
  <c r="Z2" i="24"/>
  <c r="AB2" i="24"/>
  <c r="AL2" i="24"/>
  <c r="AX2" i="24"/>
  <c r="BM2" i="24"/>
  <c r="BQ2" i="24"/>
  <c r="CB2" i="24"/>
  <c r="CN2" i="24"/>
  <c r="CO2" i="24"/>
  <c r="CP2" i="24"/>
  <c r="CQ2" i="24"/>
  <c r="CR2" i="24"/>
  <c r="CS2" i="24"/>
  <c r="CT2" i="24"/>
  <c r="CU2" i="24"/>
  <c r="CV2" i="24"/>
  <c r="CW2" i="24"/>
  <c r="CX2" i="24"/>
  <c r="CY2" i="24"/>
  <c r="CZ2" i="24"/>
  <c r="DA2" i="24"/>
  <c r="DB2" i="24"/>
  <c r="DC2" i="24"/>
  <c r="DD2" i="24"/>
  <c r="DE2" i="24"/>
  <c r="U1" i="24" l="1"/>
  <c r="CX1" i="24"/>
  <c r="CY1" i="24"/>
  <c r="CZ1" i="24"/>
  <c r="DA1" i="24"/>
  <c r="DB1" i="24"/>
  <c r="DC1" i="24"/>
  <c r="DD1" i="24"/>
  <c r="DE1" i="24"/>
  <c r="E1" i="24"/>
  <c r="K1" i="24"/>
  <c r="P1" i="24"/>
  <c r="Q1" i="24"/>
  <c r="R1" i="24"/>
  <c r="Z1" i="24"/>
  <c r="AA1" i="24"/>
  <c r="AB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B1" i="24"/>
  <c r="AY11" i="6" l="1"/>
  <c r="B22" i="21" l="1"/>
  <c r="B21" i="21"/>
  <c r="B15" i="21"/>
  <c r="B14" i="21"/>
  <c r="B35" i="21"/>
  <c r="B34" i="21"/>
  <c r="AZ11" i="6" l="1"/>
  <c r="BH11" i="6" s="1"/>
  <c r="BA11" i="6"/>
  <c r="BB11" i="6"/>
  <c r="BD11" i="6"/>
  <c r="BE11" i="6"/>
  <c r="BG11" i="6"/>
  <c r="BZ11" i="6"/>
  <c r="AY12" i="6"/>
  <c r="AZ12" i="6"/>
  <c r="BH12" i="6" s="1"/>
  <c r="BA12" i="6"/>
  <c r="BB12" i="6"/>
  <c r="BD12" i="6"/>
  <c r="BE12" i="6"/>
  <c r="BG12" i="6"/>
  <c r="BZ12" i="6"/>
  <c r="AY13" i="6"/>
  <c r="AZ13" i="6"/>
  <c r="BH13" i="6" s="1"/>
  <c r="BA13" i="6"/>
  <c r="BB13" i="6"/>
  <c r="BD13" i="6"/>
  <c r="BE13" i="6"/>
  <c r="BG13" i="6"/>
  <c r="BZ13" i="6"/>
  <c r="AY14" i="6"/>
  <c r="AZ14" i="6"/>
  <c r="BH14" i="6" s="1"/>
  <c r="BA14" i="6"/>
  <c r="BB14" i="6"/>
  <c r="BD14" i="6"/>
  <c r="BE14" i="6"/>
  <c r="BG14" i="6"/>
  <c r="BZ14" i="6"/>
  <c r="AY15" i="6"/>
  <c r="AZ15" i="6"/>
  <c r="BH15" i="6" s="1"/>
  <c r="BA15" i="6"/>
  <c r="BB15" i="6"/>
  <c r="BD15" i="6"/>
  <c r="BE15" i="6"/>
  <c r="BG15" i="6"/>
  <c r="BZ15" i="6"/>
  <c r="AY16" i="6"/>
  <c r="AZ16" i="6"/>
  <c r="BH16" i="6" s="1"/>
  <c r="BA16" i="6"/>
  <c r="BB16" i="6"/>
  <c r="BD16" i="6"/>
  <c r="BE16" i="6"/>
  <c r="BG16" i="6"/>
  <c r="BZ16" i="6"/>
  <c r="AY17" i="6"/>
  <c r="AZ17" i="6"/>
  <c r="BH17" i="6" s="1"/>
  <c r="BA17" i="6"/>
  <c r="BB17" i="6"/>
  <c r="BD17" i="6"/>
  <c r="BE17" i="6"/>
  <c r="BG17" i="6"/>
  <c r="BZ17" i="6"/>
  <c r="BZ10" i="6"/>
  <c r="AZ10" i="6"/>
  <c r="BH10" i="6" s="1"/>
  <c r="AY10" i="6"/>
  <c r="BD10" i="6"/>
  <c r="BA10" i="6"/>
  <c r="BB10" i="6"/>
  <c r="BE10" i="6"/>
  <c r="BG10" i="6"/>
  <c r="CI11" i="6"/>
  <c r="C14" i="21"/>
  <c r="C15" i="21"/>
  <c r="I15" i="21"/>
  <c r="E15" i="21"/>
  <c r="F15" i="21"/>
  <c r="F14" i="21"/>
  <c r="H14" i="21"/>
  <c r="E14" i="21"/>
  <c r="H15" i="21"/>
  <c r="I14" i="21"/>
  <c r="BC12" i="6" l="1"/>
  <c r="BJ12" i="6"/>
  <c r="BF17" i="6"/>
  <c r="BF15" i="6"/>
  <c r="BJ11" i="6"/>
  <c r="BC17" i="6"/>
  <c r="BC11" i="6"/>
  <c r="BC16" i="6"/>
  <c r="BF14" i="6"/>
  <c r="BC13" i="6"/>
  <c r="BJ15" i="6"/>
  <c r="BJ14" i="6"/>
  <c r="BF12" i="6"/>
  <c r="BI12" i="6" s="1"/>
  <c r="BJ17" i="6"/>
  <c r="BF16" i="6"/>
  <c r="BC15" i="6"/>
  <c r="BF13" i="6"/>
  <c r="BC14" i="6"/>
  <c r="BF11" i="6"/>
  <c r="BJ13" i="6"/>
  <c r="BJ16" i="6"/>
  <c r="BJ10" i="6"/>
  <c r="BF10" i="6"/>
  <c r="BC10" i="6"/>
  <c r="B18" i="25"/>
  <c r="B19" i="25"/>
  <c r="BI14" i="6" l="1"/>
  <c r="BI11" i="6"/>
  <c r="BI13" i="6"/>
  <c r="BI17" i="6"/>
  <c r="BI16" i="6"/>
  <c r="BI15" i="6"/>
  <c r="BI10" i="6"/>
  <c r="A13" i="7"/>
  <c r="A14" i="7"/>
  <c r="A15" i="7"/>
  <c r="V13" i="7"/>
  <c r="V14" i="7"/>
  <c r="V15" i="7"/>
  <c r="A16" i="7"/>
  <c r="V16" i="7"/>
  <c r="O6" i="20" l="1"/>
  <c r="O7" i="20"/>
  <c r="O8" i="20"/>
  <c r="O9" i="20"/>
  <c r="O10" i="20"/>
  <c r="O11" i="20"/>
  <c r="N17" i="7" l="1"/>
  <c r="A6" i="7" l="1"/>
  <c r="A7" i="7"/>
  <c r="A8" i="7"/>
  <c r="A9" i="7"/>
  <c r="A10" i="7"/>
  <c r="A11" i="7"/>
  <c r="A12" i="7"/>
  <c r="L5" i="20"/>
  <c r="O17" i="7" l="1"/>
  <c r="B16" i="6" l="1"/>
  <c r="D16" i="6"/>
  <c r="E16" i="6" s="1"/>
  <c r="P16" i="6"/>
  <c r="T16" i="6"/>
  <c r="Z16" i="6" s="1"/>
  <c r="CD16" i="6"/>
  <c r="CG16" i="6"/>
  <c r="CI16" i="6"/>
  <c r="CR16" i="6"/>
  <c r="CY16" i="6"/>
  <c r="BY16" i="6" s="1"/>
  <c r="CW16" i="6" l="1"/>
  <c r="BW16" i="6"/>
  <c r="BS16" i="6"/>
  <c r="BU16" i="6"/>
  <c r="BT16" i="6"/>
  <c r="BX16" i="6" s="1"/>
  <c r="BK16" i="6"/>
  <c r="BV16" i="6" s="1"/>
  <c r="T10" i="6"/>
  <c r="Z10" i="6" s="1"/>
  <c r="B12" i="6"/>
  <c r="D12" i="6"/>
  <c r="E12" i="6" s="1"/>
  <c r="P12" i="6"/>
  <c r="T12" i="6"/>
  <c r="Z12" i="6" s="1"/>
  <c r="CD12" i="6"/>
  <c r="CG12" i="6"/>
  <c r="CI12" i="6"/>
  <c r="CY12" i="6"/>
  <c r="BY12" i="6" s="1"/>
  <c r="B13" i="6"/>
  <c r="D13" i="6"/>
  <c r="E13" i="6" s="1"/>
  <c r="P13" i="6"/>
  <c r="T13" i="6"/>
  <c r="Z13" i="6" s="1"/>
  <c r="CD13" i="6"/>
  <c r="CG13" i="6"/>
  <c r="CI13" i="6"/>
  <c r="CR13" i="6"/>
  <c r="CY13" i="6"/>
  <c r="BY13" i="6" s="1"/>
  <c r="B14" i="6"/>
  <c r="D14" i="6"/>
  <c r="E14" i="6" s="1"/>
  <c r="P14" i="6"/>
  <c r="T14" i="6"/>
  <c r="Z14" i="6" s="1"/>
  <c r="CD14" i="6"/>
  <c r="CG14" i="6"/>
  <c r="CI14" i="6"/>
  <c r="CY14" i="6"/>
  <c r="B15" i="6"/>
  <c r="D15" i="6"/>
  <c r="E15" i="6" s="1"/>
  <c r="P15" i="6"/>
  <c r="T15" i="6"/>
  <c r="Z15" i="6" s="1"/>
  <c r="CD15" i="6"/>
  <c r="CG15" i="6"/>
  <c r="CI15" i="6"/>
  <c r="CR15" i="6"/>
  <c r="CY15" i="6"/>
  <c r="BY15" i="6" s="1"/>
  <c r="B17" i="6"/>
  <c r="D17" i="6"/>
  <c r="E17" i="6" s="1"/>
  <c r="P17" i="6"/>
  <c r="T17" i="6"/>
  <c r="Z17" i="6" s="1"/>
  <c r="CD17" i="6"/>
  <c r="CG17" i="6"/>
  <c r="CI17" i="6"/>
  <c r="CR17" i="6"/>
  <c r="CY17" i="6"/>
  <c r="BY17" i="6" s="1"/>
  <c r="B11" i="6"/>
  <c r="D11" i="6"/>
  <c r="E11" i="6" s="1"/>
  <c r="P11" i="6"/>
  <c r="T11" i="6"/>
  <c r="Z11" i="6" s="1"/>
  <c r="CD11" i="6"/>
  <c r="CG11" i="6"/>
  <c r="CY11" i="6"/>
  <c r="CW15" i="6" l="1"/>
  <c r="CW13" i="6"/>
  <c r="CW17" i="6"/>
  <c r="BY11" i="6"/>
  <c r="BS11" i="6" s="1"/>
  <c r="BY14" i="6"/>
  <c r="BU14" i="6" s="1"/>
  <c r="BQ16" i="6"/>
  <c r="BR16" i="6"/>
  <c r="BK11" i="6"/>
  <c r="BK15" i="6"/>
  <c r="BV15" i="6" s="1"/>
  <c r="BT15" i="6"/>
  <c r="BX15" i="6" s="1"/>
  <c r="BK14" i="6"/>
  <c r="BK12" i="6"/>
  <c r="BV12" i="6" s="1"/>
  <c r="BW13" i="6"/>
  <c r="BS13" i="6"/>
  <c r="BU13" i="6"/>
  <c r="BK17" i="6"/>
  <c r="BV17" i="6" s="1"/>
  <c r="BT13" i="6"/>
  <c r="BX13" i="6" s="1"/>
  <c r="BK13" i="6"/>
  <c r="BV13" i="6" s="1"/>
  <c r="BT17" i="6"/>
  <c r="BX17" i="6" s="1"/>
  <c r="BW17" i="6"/>
  <c r="BS17" i="6"/>
  <c r="BU17" i="6"/>
  <c r="BS15" i="6"/>
  <c r="BW15" i="6"/>
  <c r="BU15" i="6"/>
  <c r="BT12" i="6"/>
  <c r="BX12" i="6" s="1"/>
  <c r="BW12" i="6"/>
  <c r="BS12" i="6"/>
  <c r="BU12" i="6"/>
  <c r="B10" i="6"/>
  <c r="BS14" i="6" l="1"/>
  <c r="BT11" i="6"/>
  <c r="BX11" i="6" s="1"/>
  <c r="BV14" i="6"/>
  <c r="BW11" i="6"/>
  <c r="BU11" i="6"/>
  <c r="BQ11" i="6" s="1"/>
  <c r="BW14" i="6"/>
  <c r="BT14" i="6"/>
  <c r="BX14" i="6" s="1"/>
  <c r="BV11" i="6"/>
  <c r="BQ12" i="6"/>
  <c r="BR17" i="6"/>
  <c r="BQ13" i="6"/>
  <c r="BQ17" i="6"/>
  <c r="BR13" i="6"/>
  <c r="BQ15" i="6"/>
  <c r="BR12" i="6"/>
  <c r="BQ14" i="6"/>
  <c r="BR15" i="6"/>
  <c r="E10" i="24"/>
  <c r="F10" i="24"/>
  <c r="G10" i="24"/>
  <c r="H10" i="24"/>
  <c r="I10" i="24"/>
  <c r="J10" i="24"/>
  <c r="V10" i="24"/>
  <c r="W10" i="24"/>
  <c r="J14" i="21" l="1"/>
  <c r="BR14" i="6"/>
  <c r="D14" i="21"/>
  <c r="G14" i="21"/>
  <c r="BR11" i="6"/>
  <c r="T7" i="20"/>
  <c r="T8" i="20"/>
  <c r="T9" i="20"/>
  <c r="T10" i="20"/>
  <c r="V8" i="7" l="1"/>
  <c r="V11" i="7"/>
  <c r="V12" i="7"/>
  <c r="C8" i="24" l="1"/>
  <c r="L8" i="24"/>
  <c r="M8" i="24"/>
  <c r="N8" i="24"/>
  <c r="O8" i="24"/>
  <c r="P8" i="24"/>
  <c r="Q8" i="24"/>
  <c r="R8" i="24"/>
  <c r="S8" i="24"/>
  <c r="T8" i="24"/>
  <c r="C7" i="24"/>
  <c r="O7" i="24"/>
  <c r="P7" i="24"/>
  <c r="R7" i="24"/>
  <c r="S7" i="24"/>
  <c r="T7" i="24"/>
  <c r="U7" i="24"/>
  <c r="V7" i="24"/>
  <c r="A5" i="20" l="1"/>
  <c r="A6" i="20"/>
  <c r="A7" i="20"/>
  <c r="A8" i="20"/>
  <c r="A9" i="20"/>
  <c r="A10" i="20"/>
  <c r="A11" i="20"/>
  <c r="C23" i="7" l="1"/>
  <c r="C22" i="7"/>
  <c r="C21" i="7"/>
  <c r="CZ29" i="6" l="1"/>
  <c r="CZ28" i="6"/>
  <c r="CZ23" i="6"/>
  <c r="CZ22" i="6"/>
  <c r="N5" i="20" l="1"/>
  <c r="N6" i="20"/>
  <c r="N7" i="20"/>
  <c r="N8" i="20"/>
  <c r="N9" i="20"/>
  <c r="N10" i="20"/>
  <c r="N11" i="20"/>
  <c r="M7" i="20"/>
  <c r="M8" i="20"/>
  <c r="M10" i="20"/>
  <c r="M5" i="20"/>
  <c r="L6" i="20"/>
  <c r="L7" i="20"/>
  <c r="L8" i="20"/>
  <c r="L9" i="20"/>
  <c r="M9" i="20" s="1"/>
  <c r="L10" i="20"/>
  <c r="L11" i="20"/>
  <c r="M11" i="20" s="1"/>
  <c r="R17" i="7"/>
  <c r="U17" i="7"/>
  <c r="M6" i="20" l="1"/>
  <c r="A5" i="7"/>
  <c r="A6" i="11" l="1"/>
  <c r="D3" i="11" l="1"/>
  <c r="G2" i="6" l="1"/>
  <c r="G2" i="21" l="1"/>
  <c r="F44" i="21" l="1"/>
  <c r="G1" i="6" l="1"/>
  <c r="F45" i="21" l="1"/>
  <c r="F46" i="21" s="1"/>
  <c r="F47" i="21" s="1"/>
  <c r="C47" i="21" s="1"/>
  <c r="G12" i="20" l="1"/>
  <c r="G3" i="8" l="1"/>
  <c r="G4" i="8"/>
  <c r="G5" i="8"/>
  <c r="G6" i="8"/>
  <c r="G7" i="8"/>
  <c r="G8" i="8"/>
  <c r="G9" i="8"/>
  <c r="G10" i="8"/>
  <c r="G2" i="8"/>
  <c r="E3" i="8"/>
  <c r="E4" i="8"/>
  <c r="E5" i="8"/>
  <c r="E6" i="8"/>
  <c r="E7" i="8"/>
  <c r="E8" i="8"/>
  <c r="E9" i="8"/>
  <c r="E10" i="8"/>
  <c r="E2" i="8"/>
  <c r="C3" i="8"/>
  <c r="C4" i="8"/>
  <c r="C5" i="8"/>
  <c r="C6" i="8"/>
  <c r="C7" i="8"/>
  <c r="C8" i="8"/>
  <c r="C9" i="8"/>
  <c r="C10" i="8"/>
  <c r="C2" i="8"/>
  <c r="A3" i="8"/>
  <c r="A4" i="8"/>
  <c r="A5" i="8"/>
  <c r="A6" i="8"/>
  <c r="A7" i="8"/>
  <c r="A8" i="8"/>
  <c r="A9" i="8"/>
  <c r="A10" i="8"/>
  <c r="A2" i="8"/>
  <c r="G3" i="21"/>
  <c r="G4" i="21"/>
  <c r="G5" i="21"/>
  <c r="G6" i="21"/>
  <c r="G7" i="21"/>
  <c r="G8" i="21"/>
  <c r="G9" i="21"/>
  <c r="G10" i="21"/>
  <c r="E3" i="21"/>
  <c r="E4" i="21"/>
  <c r="E5" i="21"/>
  <c r="E6" i="21"/>
  <c r="E7" i="21"/>
  <c r="E8" i="21"/>
  <c r="E9" i="21"/>
  <c r="E10" i="21"/>
  <c r="E2" i="21"/>
  <c r="C3" i="21"/>
  <c r="C4" i="21"/>
  <c r="C5" i="21"/>
  <c r="C6" i="21"/>
  <c r="C7" i="21"/>
  <c r="C8" i="21"/>
  <c r="C9" i="21"/>
  <c r="C10" i="21"/>
  <c r="C2" i="21"/>
  <c r="A3" i="21"/>
  <c r="A4" i="21"/>
  <c r="A5" i="21"/>
  <c r="A6" i="21"/>
  <c r="A7" i="21"/>
  <c r="A8" i="21"/>
  <c r="A9" i="21"/>
  <c r="A10" i="21"/>
  <c r="A2" i="21"/>
  <c r="B16" i="8" l="1"/>
  <c r="B15" i="8"/>
  <c r="E24" i="20"/>
  <c r="F24" i="20" s="1"/>
  <c r="E23" i="20"/>
  <c r="F23" i="20" s="1"/>
  <c r="E22" i="20"/>
  <c r="F22" i="20" s="1"/>
  <c r="E21" i="20"/>
  <c r="F21" i="20" s="1"/>
  <c r="E20" i="20"/>
  <c r="F20" i="20" s="1"/>
  <c r="E19" i="20"/>
  <c r="F19" i="20" s="1"/>
  <c r="E18" i="20"/>
  <c r="F18" i="20" s="1"/>
  <c r="E17" i="20"/>
  <c r="F17" i="20" s="1"/>
  <c r="E12" i="20"/>
  <c r="H18" i="6"/>
  <c r="CY10" i="6"/>
  <c r="CN10" i="6"/>
  <c r="CI10" i="6"/>
  <c r="CG10" i="6"/>
  <c r="CD10" i="6"/>
  <c r="P10" i="6"/>
  <c r="D10" i="6"/>
  <c r="E10" i="6" s="1"/>
  <c r="C3" i="14"/>
  <c r="C2" i="14"/>
  <c r="C1" i="14"/>
  <c r="BY10" i="6" l="1"/>
  <c r="C16" i="21"/>
  <c r="BK10" i="6"/>
  <c r="V5" i="7"/>
  <c r="V6" i="7"/>
  <c r="V10" i="7"/>
  <c r="V9" i="7"/>
  <c r="V7" i="7"/>
  <c r="F25" i="20"/>
  <c r="E25" i="20"/>
  <c r="C43" i="21"/>
  <c r="BV10" i="6" l="1"/>
  <c r="BU10" i="6"/>
  <c r="BT10" i="6"/>
  <c r="BS10" i="6"/>
  <c r="BW10" i="6"/>
  <c r="E16" i="21"/>
  <c r="BT18" i="6"/>
  <c r="BV18" i="6"/>
  <c r="BY18" i="6"/>
  <c r="J5" i="20"/>
  <c r="J9" i="20"/>
  <c r="J6" i="20"/>
  <c r="Q6" i="20" s="1"/>
  <c r="J10" i="20"/>
  <c r="J7" i="20"/>
  <c r="J11" i="20"/>
  <c r="J8" i="20"/>
  <c r="V17" i="7"/>
  <c r="E23" i="7"/>
  <c r="G23" i="7"/>
  <c r="G22" i="7"/>
  <c r="E22" i="7"/>
  <c r="G21" i="7"/>
  <c r="E21" i="7"/>
  <c r="BR10" i="6" l="1"/>
  <c r="CK16" i="6"/>
  <c r="BX10" i="6"/>
  <c r="BQ10" i="6"/>
  <c r="BR18" i="6"/>
  <c r="Q5" i="20"/>
  <c r="O5" i="20"/>
  <c r="Q7" i="20"/>
  <c r="R7" i="20" s="1"/>
  <c r="S7" i="20" s="1"/>
  <c r="Q10" i="20"/>
  <c r="R10" i="20" s="1"/>
  <c r="S10" i="20" s="1"/>
  <c r="Q8" i="20"/>
  <c r="R8" i="20" s="1"/>
  <c r="S8" i="20" s="1"/>
  <c r="Q11" i="20"/>
  <c r="R11" i="20" s="1"/>
  <c r="Q9" i="20"/>
  <c r="R9" i="20" s="1"/>
  <c r="S9" i="20" s="1"/>
  <c r="R6" i="20"/>
  <c r="J12" i="20"/>
  <c r="CK13" i="6"/>
  <c r="CK12" i="6"/>
  <c r="CK14" i="6"/>
  <c r="CK17" i="6"/>
  <c r="CK15" i="6"/>
  <c r="CK11" i="6"/>
  <c r="BX18" i="6"/>
  <c r="BW18" i="6"/>
  <c r="CK10" i="6"/>
  <c r="BU18" i="6"/>
  <c r="BS18" i="6"/>
  <c r="C24" i="7"/>
  <c r="C49" i="21"/>
  <c r="I22" i="7"/>
  <c r="F22" i="7"/>
  <c r="J22" i="7" s="1"/>
  <c r="F21" i="7"/>
  <c r="J21" i="7" s="1"/>
  <c r="I21" i="7"/>
  <c r="F23" i="7"/>
  <c r="J23" i="7" s="1"/>
  <c r="I23" i="7"/>
  <c r="R5" i="20" l="1"/>
  <c r="S5" i="20" s="1"/>
  <c r="T11" i="20"/>
  <c r="S11" i="20"/>
  <c r="S6" i="20"/>
  <c r="T6" i="20" s="1"/>
  <c r="H23" i="7"/>
  <c r="H21" i="7"/>
  <c r="H22" i="7"/>
  <c r="BQ18" i="6"/>
  <c r="E24" i="7"/>
  <c r="G24" i="7"/>
  <c r="R12" i="20" l="1"/>
  <c r="C29" i="20"/>
  <c r="G29" i="20" s="1"/>
  <c r="G30" i="20" s="1"/>
  <c r="S12" i="20"/>
  <c r="T5" i="20"/>
  <c r="T12" i="20" s="1"/>
  <c r="I24" i="7"/>
  <c r="F24" i="7"/>
  <c r="D24" i="7" s="1"/>
  <c r="E37" i="21"/>
  <c r="E24" i="21"/>
  <c r="I24" i="21" l="1"/>
  <c r="J24" i="21" s="1"/>
  <c r="CL10" i="6"/>
  <c r="CR10" i="6" s="1"/>
  <c r="CW10" i="6" s="1"/>
  <c r="C30" i="20"/>
  <c r="E29" i="20"/>
  <c r="I29" i="20" s="1"/>
  <c r="CL11" i="6"/>
  <c r="CR11" i="6" s="1"/>
  <c r="CW11" i="6" s="1"/>
  <c r="CL16" i="6"/>
  <c r="CO16" i="6" s="1"/>
  <c r="CL13" i="6"/>
  <c r="CL15" i="6"/>
  <c r="CL12" i="6"/>
  <c r="CL14" i="6"/>
  <c r="CR14" i="6" s="1"/>
  <c r="CW14" i="6" s="1"/>
  <c r="CL17" i="6"/>
  <c r="I30" i="20"/>
  <c r="J24" i="7"/>
  <c r="E25" i="21"/>
  <c r="E38" i="21"/>
  <c r="F37" i="21"/>
  <c r="F24" i="21"/>
  <c r="D24" i="21" l="1"/>
  <c r="I25" i="21"/>
  <c r="E26" i="21"/>
  <c r="E30" i="20"/>
  <c r="F29" i="20"/>
  <c r="J29" i="20" s="1"/>
  <c r="J30" i="20" s="1"/>
  <c r="I38" i="21"/>
  <c r="J38" i="21" s="1"/>
  <c r="E39" i="21"/>
  <c r="I37" i="21"/>
  <c r="CR12" i="6"/>
  <c r="CW12" i="6" s="1"/>
  <c r="D37" i="21"/>
  <c r="CO10" i="6"/>
  <c r="CS10" i="6" s="1"/>
  <c r="CX10" i="6" s="1"/>
  <c r="H16" i="21"/>
  <c r="CO13" i="6"/>
  <c r="CO17" i="6"/>
  <c r="CS17" i="6" s="1"/>
  <c r="CX17" i="6" s="1"/>
  <c r="CO11" i="6"/>
  <c r="CS11" i="6" s="1"/>
  <c r="CO14" i="6"/>
  <c r="CS16" i="6"/>
  <c r="CX16" i="6" s="1"/>
  <c r="CO15" i="6"/>
  <c r="CS15" i="6" s="1"/>
  <c r="CX15" i="6" s="1"/>
  <c r="E18" i="8"/>
  <c r="I18" i="8" s="1"/>
  <c r="J18" i="8" s="1"/>
  <c r="H24" i="7"/>
  <c r="F25" i="21"/>
  <c r="F38" i="21"/>
  <c r="F26" i="21" l="1"/>
  <c r="D26" i="21" s="1"/>
  <c r="D25" i="21"/>
  <c r="F18" i="8"/>
  <c r="D18" i="8" s="1"/>
  <c r="J25" i="21"/>
  <c r="J26" i="21" s="1"/>
  <c r="I26" i="21"/>
  <c r="F30" i="20"/>
  <c r="D30" i="20" s="1"/>
  <c r="H29" i="20"/>
  <c r="D38" i="21"/>
  <c r="F39" i="21"/>
  <c r="D39" i="21" s="1"/>
  <c r="H30" i="20"/>
  <c r="I39" i="21"/>
  <c r="J37" i="21"/>
  <c r="J39" i="21" s="1"/>
  <c r="CO12" i="6"/>
  <c r="CS12" i="6" s="1"/>
  <c r="CX12" i="6" s="1"/>
  <c r="CZ11" i="6"/>
  <c r="CX11" i="6"/>
  <c r="CZ10" i="6"/>
  <c r="CP10" i="6"/>
  <c r="CV10" i="6" s="1"/>
  <c r="CU10" i="6"/>
  <c r="DD10" i="6" s="1"/>
  <c r="CU17" i="6"/>
  <c r="DD17" i="6" s="1"/>
  <c r="CZ17" i="6"/>
  <c r="CU15" i="6"/>
  <c r="DD15" i="6" s="1"/>
  <c r="CZ15" i="6"/>
  <c r="CS14" i="6"/>
  <c r="CX14" i="6" s="1"/>
  <c r="CP15" i="6"/>
  <c r="CV15" i="6" s="1"/>
  <c r="CP17" i="6"/>
  <c r="CV17" i="6" s="1"/>
  <c r="CS13" i="6"/>
  <c r="CX13" i="6" s="1"/>
  <c r="CP16" i="6"/>
  <c r="CV16" i="6" s="1"/>
  <c r="CU11" i="6"/>
  <c r="DD11" i="6" s="1"/>
  <c r="CP11" i="6"/>
  <c r="CV11" i="6" s="1"/>
  <c r="CU16" i="6"/>
  <c r="DD16" i="6" s="1"/>
  <c r="CZ16" i="6"/>
  <c r="CZ12" i="6" l="1"/>
  <c r="CU12" i="6"/>
  <c r="CP12" i="6"/>
  <c r="CV12" i="6" s="1"/>
  <c r="DC10" i="6"/>
  <c r="DB10" i="6" s="1"/>
  <c r="CT10" i="6"/>
  <c r="DC15" i="6"/>
  <c r="DB15" i="6" s="1"/>
  <c r="CT15" i="6"/>
  <c r="DC16" i="6"/>
  <c r="DB16" i="6" s="1"/>
  <c r="CT16" i="6"/>
  <c r="DC17" i="6"/>
  <c r="DB17" i="6" s="1"/>
  <c r="CT17" i="6"/>
  <c r="CT11" i="6"/>
  <c r="I16" i="21"/>
  <c r="J15" i="21"/>
  <c r="J16" i="21" s="1"/>
  <c r="DC11" i="6"/>
  <c r="DB11" i="6" s="1"/>
  <c r="CU14" i="6"/>
  <c r="DD14" i="6" s="1"/>
  <c r="CZ14" i="6"/>
  <c r="CP14" i="6"/>
  <c r="CV14" i="6" s="1"/>
  <c r="CU13" i="6"/>
  <c r="DD13" i="6" s="1"/>
  <c r="CZ13" i="6"/>
  <c r="CP13" i="6"/>
  <c r="CV13" i="6" s="1"/>
  <c r="C22" i="21"/>
  <c r="H34" i="21"/>
  <c r="I34" i="21"/>
  <c r="C35" i="21"/>
  <c r="E34" i="21"/>
  <c r="H21" i="21"/>
  <c r="I35" i="21"/>
  <c r="F35" i="21"/>
  <c r="I21" i="21"/>
  <c r="C34" i="21"/>
  <c r="F22" i="21"/>
  <c r="C21" i="21"/>
  <c r="F34" i="21"/>
  <c r="H35" i="21"/>
  <c r="E21" i="21"/>
  <c r="F21" i="21"/>
  <c r="E22" i="21"/>
  <c r="I22" i="21"/>
  <c r="H22" i="21"/>
  <c r="DC12" i="6" l="1"/>
  <c r="DD12" i="6"/>
  <c r="CU29" i="6" s="1"/>
  <c r="C23" i="21"/>
  <c r="C27" i="21" s="1"/>
  <c r="H23" i="21"/>
  <c r="H27" i="21" s="1"/>
  <c r="E23" i="21"/>
  <c r="E27" i="21" s="1"/>
  <c r="F23" i="21"/>
  <c r="F27" i="21" s="1"/>
  <c r="I23" i="21"/>
  <c r="I27" i="21" s="1"/>
  <c r="CT12" i="6"/>
  <c r="CT13" i="6"/>
  <c r="CT14" i="6"/>
  <c r="CU28" i="6"/>
  <c r="D15" i="21"/>
  <c r="G15" i="21"/>
  <c r="F16" i="21"/>
  <c r="G16" i="21" s="1"/>
  <c r="CY22" i="6"/>
  <c r="CY28" i="6" s="1"/>
  <c r="CX23" i="6"/>
  <c r="CX29" i="6" s="1"/>
  <c r="CW23" i="6"/>
  <c r="CW29" i="6" s="1"/>
  <c r="CW18" i="6"/>
  <c r="I16" i="8"/>
  <c r="C15" i="8"/>
  <c r="F15" i="8"/>
  <c r="CU23" i="6"/>
  <c r="E15" i="8"/>
  <c r="CY23" i="6"/>
  <c r="CY29" i="6" s="1"/>
  <c r="H16" i="8"/>
  <c r="CV23" i="6"/>
  <c r="CV29" i="6" s="1"/>
  <c r="H15" i="8"/>
  <c r="CU18" i="6"/>
  <c r="CU3" i="6" s="1"/>
  <c r="CV18" i="6"/>
  <c r="CW22" i="6"/>
  <c r="CW28" i="6" s="1"/>
  <c r="CU22" i="6"/>
  <c r="C16" i="8"/>
  <c r="F16" i="8"/>
  <c r="CV22" i="6"/>
  <c r="E16" i="8"/>
  <c r="CY18" i="6"/>
  <c r="CX18" i="6"/>
  <c r="CX22" i="6"/>
  <c r="CX28" i="6" s="1"/>
  <c r="DC14" i="6"/>
  <c r="DB14" i="6" s="1"/>
  <c r="I15" i="8"/>
  <c r="DC13" i="6"/>
  <c r="DB13" i="6" s="1"/>
  <c r="E35" i="21"/>
  <c r="DB12" i="6" l="1"/>
  <c r="D27" i="21"/>
  <c r="G23" i="21"/>
  <c r="G27" i="21" s="1"/>
  <c r="D23" i="21"/>
  <c r="J16" i="8"/>
  <c r="J22" i="21"/>
  <c r="J21" i="21"/>
  <c r="D21" i="21"/>
  <c r="G21" i="21"/>
  <c r="D22" i="21"/>
  <c r="G22" i="21"/>
  <c r="CU24" i="6"/>
  <c r="D16" i="21"/>
  <c r="G35" i="21"/>
  <c r="CY30" i="6"/>
  <c r="F36" i="21"/>
  <c r="F40" i="21" s="1"/>
  <c r="CY24" i="6"/>
  <c r="H36" i="21"/>
  <c r="H40" i="21" s="1"/>
  <c r="CX30" i="6"/>
  <c r="CT18" i="6"/>
  <c r="J34" i="21"/>
  <c r="I36" i="21"/>
  <c r="I40" i="21" s="1"/>
  <c r="F17" i="8"/>
  <c r="F19" i="8" s="1"/>
  <c r="G16" i="8"/>
  <c r="I17" i="8"/>
  <c r="I19" i="8" s="1"/>
  <c r="D15" i="8"/>
  <c r="C36" i="21"/>
  <c r="C40" i="21" s="1"/>
  <c r="D34" i="21"/>
  <c r="CT29" i="6"/>
  <c r="G15" i="8"/>
  <c r="CX24" i="6"/>
  <c r="J35" i="21"/>
  <c r="CW30" i="6"/>
  <c r="CU30" i="6"/>
  <c r="E17" i="8"/>
  <c r="E19" i="8" s="1"/>
  <c r="CT23" i="6"/>
  <c r="CV24" i="6"/>
  <c r="E36" i="21"/>
  <c r="E40" i="21" s="1"/>
  <c r="CW24" i="6"/>
  <c r="C17" i="8"/>
  <c r="C19" i="8" s="1"/>
  <c r="D16" i="8"/>
  <c r="G34" i="21"/>
  <c r="H17" i="8"/>
  <c r="H19" i="8" s="1"/>
  <c r="CT22" i="6"/>
  <c r="D35" i="21"/>
  <c r="J15" i="8"/>
  <c r="J23" i="21" l="1"/>
  <c r="J27" i="21" s="1"/>
  <c r="D40" i="21"/>
  <c r="J17" i="8"/>
  <c r="J19" i="8" s="1"/>
  <c r="G36" i="21"/>
  <c r="G40" i="21" s="1"/>
  <c r="CT24" i="6"/>
  <c r="C45" i="21"/>
  <c r="D17" i="8"/>
  <c r="J36" i="21"/>
  <c r="J40" i="21" s="1"/>
  <c r="D19" i="8"/>
  <c r="D36" i="21"/>
  <c r="G17" i="8"/>
  <c r="G19" i="8" s="1"/>
  <c r="C46" i="21" l="1"/>
  <c r="C48" i="21" s="1"/>
  <c r="C50" i="21" l="1"/>
  <c r="C51" i="21"/>
  <c r="C52" i="21" s="1"/>
  <c r="CT28" i="6" l="1"/>
  <c r="BT22" i="6"/>
  <c r="CV28" i="6"/>
  <c r="CV30" i="6"/>
  <c r="CT30" i="6" s="1"/>
</calcChain>
</file>

<file path=xl/comments1.xml><?xml version="1.0" encoding="utf-8"?>
<comments xmlns="http://schemas.openxmlformats.org/spreadsheetml/2006/main">
  <authors>
    <author>Bronkowski Kamil</author>
  </authors>
  <commentList>
    <comment ref="CU2" authorId="0" shapeId="0">
      <text>
        <r>
          <rPr>
            <b/>
            <sz val="9"/>
            <color indexed="81"/>
            <rFont val="Tahoma"/>
            <family val="2"/>
            <charset val="238"/>
          </rPr>
          <t>Domyslnie 30% całkowitego obrotu</t>
        </r>
      </text>
    </comment>
    <comment ref="A9" authorId="0" shapeId="0">
      <text>
        <r>
          <rPr>
            <b/>
            <sz val="9"/>
            <color indexed="81"/>
            <rFont val="Tahoma"/>
            <family val="2"/>
            <charset val="238"/>
          </rPr>
          <t>Dla strumieni/pozycji które są w opcjach proszę zastosować ten sam nr porządkowy, a w kolumnie "Opcja" wpisując odpowiedni numer opcji (opcja 1, opcja 2, etc)</t>
        </r>
      </text>
    </comment>
    <comment ref="AB9" authorId="0" shapeId="0">
      <text>
        <r>
          <rPr>
            <sz val="9"/>
            <color indexed="81"/>
            <rFont val="Tahoma"/>
            <family val="2"/>
            <charset val="238"/>
          </rPr>
          <t>Podwójne kliknięcie</t>
        </r>
      </text>
    </comment>
    <comment ref="AD9" authorId="0" shapeId="0">
      <text>
        <r>
          <rPr>
            <sz val="9"/>
            <color indexed="81"/>
            <rFont val="Tahoma"/>
            <family val="2"/>
            <charset val="238"/>
          </rPr>
          <t>Podwójne kliknięcie</t>
        </r>
      </text>
    </comment>
  </commentList>
</comments>
</file>

<file path=xl/connections.xml><?xml version="1.0" encoding="utf-8"?>
<connections xmlns="http://schemas.openxmlformats.org/spreadsheetml/2006/main">
  <connection id="1" keepAlive="1" name="Zapytanie — publ_sredni_m_2018" description="Połączenie z zapytaniem „publ_sredni_m_2018” w skoroszycie." type="5" refreshedVersion="6" background="1" refreshOnLoad="1" saveData="1">
    <dbPr connection="Provider=Microsoft.Mashup.OleDb.1;Data Source=$Workbook$;Location=publ_sredni_m_2018;Extended Properties=&quot;&quot;" command="SELECT * FROM [publ_sredni_m_2018]"/>
  </connection>
  <connection id="2" keepAlive="1" name="Zapytanie — publ_sredni_m_2018 (2)" description="Połączenie z zapytaniem „publ_sredni_m_2018 (2)” w skoroszycie." type="5" refreshedVersion="6" background="1" refreshOnLoad="1" saveData="1">
    <dbPr connection="Provider=Microsoft.Mashup.OleDb.1;Data Source=$Workbook$;Location=publ_sredni_m_2018 (2);Extended Properties=&quot;&quot;" command="SELECT * FROM [publ_sredni_m_2018 (2)]"/>
  </connection>
</connections>
</file>

<file path=xl/sharedStrings.xml><?xml version="1.0" encoding="utf-8"?>
<sst xmlns="http://schemas.openxmlformats.org/spreadsheetml/2006/main" count="11362" uniqueCount="2854">
  <si>
    <t>19 02 06</t>
  </si>
  <si>
    <t>19 02 07*</t>
  </si>
  <si>
    <t>19 02 08*</t>
  </si>
  <si>
    <t>19 02 09*</t>
  </si>
  <si>
    <t>19 02 10</t>
  </si>
  <si>
    <t>19 02 11*</t>
  </si>
  <si>
    <t>19 02 99</t>
  </si>
  <si>
    <t>19 03 04*</t>
  </si>
  <si>
    <t>19 03 05</t>
  </si>
  <si>
    <t>19 03 06*</t>
  </si>
  <si>
    <t>19 03 07</t>
  </si>
  <si>
    <t>19 04 01</t>
  </si>
  <si>
    <t>19 04 02*</t>
  </si>
  <si>
    <t>19 04 03*</t>
  </si>
  <si>
    <t>19 04 04</t>
  </si>
  <si>
    <t>19 05 01</t>
  </si>
  <si>
    <t>19 05 02</t>
  </si>
  <si>
    <t>19 05 03</t>
  </si>
  <si>
    <t>19 05 99</t>
  </si>
  <si>
    <t>19 06 03</t>
  </si>
  <si>
    <t>19 06 04</t>
  </si>
  <si>
    <t>19 06 05</t>
  </si>
  <si>
    <t>19 06 06</t>
  </si>
  <si>
    <t>19 06 99</t>
  </si>
  <si>
    <t>19 08 01</t>
  </si>
  <si>
    <t>19 08 02</t>
  </si>
  <si>
    <t>19 08 05</t>
  </si>
  <si>
    <t>19 08 06*</t>
  </si>
  <si>
    <t>19 08 07*</t>
  </si>
  <si>
    <t>19 08 08*</t>
  </si>
  <si>
    <t>19 08 09</t>
  </si>
  <si>
    <t>19 08 10*</t>
  </si>
  <si>
    <t>19 08 11*</t>
  </si>
  <si>
    <t>19 08 12</t>
  </si>
  <si>
    <t>19 08 13*</t>
  </si>
  <si>
    <t>19 08 14</t>
  </si>
  <si>
    <t>19 08 99</t>
  </si>
  <si>
    <t>19 09 01</t>
  </si>
  <si>
    <t>19 09 02</t>
  </si>
  <si>
    <t>19 09 03</t>
  </si>
  <si>
    <t>19 09 04</t>
  </si>
  <si>
    <t>19 09 05</t>
  </si>
  <si>
    <t>19 09 06</t>
  </si>
  <si>
    <t>19 09 99</t>
  </si>
  <si>
    <t>19 10 01</t>
  </si>
  <si>
    <t>19 10 02</t>
  </si>
  <si>
    <t>19 10 03*</t>
  </si>
  <si>
    <t>19 10 04</t>
  </si>
  <si>
    <t>19 10 05*</t>
  </si>
  <si>
    <t>19 10 06</t>
  </si>
  <si>
    <t>19 11 01*</t>
  </si>
  <si>
    <t>19 11 02*</t>
  </si>
  <si>
    <t>19 11 03*</t>
  </si>
  <si>
    <t>19 11 04*</t>
  </si>
  <si>
    <t>19 11 05*</t>
  </si>
  <si>
    <t>19 11 06</t>
  </si>
  <si>
    <t>19 11 07*</t>
  </si>
  <si>
    <t>19 11 99</t>
  </si>
  <si>
    <t>19 12 01</t>
  </si>
  <si>
    <t>19 12 02</t>
  </si>
  <si>
    <t>19 12 03</t>
  </si>
  <si>
    <t>19 12 04</t>
  </si>
  <si>
    <t>19 12 05</t>
  </si>
  <si>
    <t>19 12 06*</t>
  </si>
  <si>
    <t>19 12 07</t>
  </si>
  <si>
    <t>19 12 08</t>
  </si>
  <si>
    <t>19 12 09</t>
  </si>
  <si>
    <t>19 12 10</t>
  </si>
  <si>
    <t>19 12 11*</t>
  </si>
  <si>
    <t>19 12 12</t>
  </si>
  <si>
    <t>19 13 01*</t>
  </si>
  <si>
    <t>19 13 02</t>
  </si>
  <si>
    <t>19 13 03*</t>
  </si>
  <si>
    <t>19 13 04</t>
  </si>
  <si>
    <t>19 13 05*</t>
  </si>
  <si>
    <t>19 13 06</t>
  </si>
  <si>
    <t>19 13 07*</t>
  </si>
  <si>
    <t>19 13 08</t>
  </si>
  <si>
    <t>19 80 01</t>
  </si>
  <si>
    <t>20 01 01</t>
  </si>
  <si>
    <t>20 01 02</t>
  </si>
  <si>
    <t>20 01 08</t>
  </si>
  <si>
    <t>20 01 10</t>
  </si>
  <si>
    <t>20 01 11</t>
  </si>
  <si>
    <t>20 01 13*</t>
  </si>
  <si>
    <t>20 01 14*</t>
  </si>
  <si>
    <t>20 01 15*</t>
  </si>
  <si>
    <t>20 01 17*</t>
  </si>
  <si>
    <t>20 01 19*</t>
  </si>
  <si>
    <t>20 01 21*</t>
  </si>
  <si>
    <t>20 01 23*</t>
  </si>
  <si>
    <t>20 01 25</t>
  </si>
  <si>
    <t>20 01 26*</t>
  </si>
  <si>
    <t>20 01 27*</t>
  </si>
  <si>
    <t>20 01 28</t>
  </si>
  <si>
    <t>20 01 29*</t>
  </si>
  <si>
    <t>20 01 30</t>
  </si>
  <si>
    <t>20 01 31*</t>
  </si>
  <si>
    <t>20 01 32</t>
  </si>
  <si>
    <t>20 01 33*</t>
  </si>
  <si>
    <t>20 01 34</t>
  </si>
  <si>
    <t>20 01 35*</t>
  </si>
  <si>
    <t>20 01 36</t>
  </si>
  <si>
    <t>20 01 37*</t>
  </si>
  <si>
    <t>20 01 38</t>
  </si>
  <si>
    <t>20 01 39</t>
  </si>
  <si>
    <t>20 01 40</t>
  </si>
  <si>
    <t>20 01 41</t>
  </si>
  <si>
    <t>20 01 80</t>
  </si>
  <si>
    <t>20 01 99</t>
  </si>
  <si>
    <t>20 02 01</t>
  </si>
  <si>
    <t>20 02 02</t>
  </si>
  <si>
    <t>20 02 03</t>
  </si>
  <si>
    <t>20 03 01</t>
  </si>
  <si>
    <t>20 03 02</t>
  </si>
  <si>
    <t>20 03 03</t>
  </si>
  <si>
    <t>20 03 04</t>
  </si>
  <si>
    <t>20 03 06</t>
  </si>
  <si>
    <t>20 03 07</t>
  </si>
  <si>
    <t>20 03 99</t>
  </si>
  <si>
    <t>L.p.</t>
  </si>
  <si>
    <t xml:space="preserve">Instalacja </t>
  </si>
  <si>
    <t>Zysk [PLN/rok]</t>
  </si>
  <si>
    <t>Transport do instalacji</t>
  </si>
  <si>
    <t>Transport lokalny</t>
  </si>
  <si>
    <t>Kod odpadu</t>
  </si>
  <si>
    <t>Podsumowanie</t>
  </si>
  <si>
    <t>01 01 01</t>
  </si>
  <si>
    <t>Odpady z wydobywania rud metali (z wyłączeniem 01 01 80)</t>
  </si>
  <si>
    <t>01 01 02</t>
  </si>
  <si>
    <t>Odpady z wydobywania kopalin innych niż rudy metali</t>
  </si>
  <si>
    <t>01 01 80</t>
  </si>
  <si>
    <t>Odpady skalne z górnictwa miedzi, cynku i ołowiu</t>
  </si>
  <si>
    <t>01 03 04*</t>
  </si>
  <si>
    <t>Odpady z przeróbki rud siarczkowych powodujące samoczynne zakwaszenie środowiska w czasie składowania</t>
  </si>
  <si>
    <t>01 03 05*</t>
  </si>
  <si>
    <t>Inne odpady poprzeróbcze zawierające substancje niebezpieczne (z wyłączeniem 01 03 80)</t>
  </si>
  <si>
    <t>01 03 06</t>
  </si>
  <si>
    <t>Inne odpady poprzeróbcze niż wymienione w 01 03 04, 01 03 05, 01 03 80 i 01 03 81</t>
  </si>
  <si>
    <t>01 03 07*</t>
  </si>
  <si>
    <t>Inne odpady zawierające substancje niebezpieczne z fizycznej i chemicznej przeróbki rud metali</t>
  </si>
  <si>
    <t>01 03 08</t>
  </si>
  <si>
    <t>Odpady w postaci pyłów i proszków inne niż wymienione w 01 03 07</t>
  </si>
  <si>
    <t>01 03 09</t>
  </si>
  <si>
    <t>Czerwony szlam powstający przy produkcji tlenku glinu inny niż wymieniony w 01 03 07</t>
  </si>
  <si>
    <t>01 03 80*</t>
  </si>
  <si>
    <t>Odpady z flotacyjnego wzbogacania rud metali nieżelaznych zawierające substancje niebezpieczne</t>
  </si>
  <si>
    <t>01 03 81</t>
  </si>
  <si>
    <t>Odpady z flotacyjnego wzbogacania rud metali nieżelaznych inne niż wymienione w 01 03 80</t>
  </si>
  <si>
    <t>01 03 99</t>
  </si>
  <si>
    <t>01 04 07*</t>
  </si>
  <si>
    <t>Odpady zawierające niebezpieczne substancje z fizycznej i chemicznej przeróbki kopalin innych niż rudy metali</t>
  </si>
  <si>
    <t>01 04 08</t>
  </si>
  <si>
    <t>Odpady żwiru lub skruszone skały inne niż wymienione w 01 04 07</t>
  </si>
  <si>
    <t>01 04 09</t>
  </si>
  <si>
    <t>Odpadowe piaski i iły</t>
  </si>
  <si>
    <t>01 04 10</t>
  </si>
  <si>
    <t>Odpady w postaci pyłów i proszków inne niż wymienione w 01 04 07</t>
  </si>
  <si>
    <t>01 04 11</t>
  </si>
  <si>
    <t>Odpady powstające przy wzbogacaniu soli kamiennej i potasowej inne niż wymienione w 01 04 07</t>
  </si>
  <si>
    <t>01 04 12</t>
  </si>
  <si>
    <t>01 04 13</t>
  </si>
  <si>
    <t>Odpady powstające przy cięciu i obróbce postaciowej skał inne niż wymienione w 01 04 07</t>
  </si>
  <si>
    <t>01 04 80*</t>
  </si>
  <si>
    <t>Odpady z flotacyjnego wzbogacania węgla zawierające substancje niebezpieczne</t>
  </si>
  <si>
    <t>01 04 81</t>
  </si>
  <si>
    <t>Odpady z flotacyjnego wzbogacania węgla inne niż wymienione w 01 04 80</t>
  </si>
  <si>
    <t>01 04 82*</t>
  </si>
  <si>
    <t>Odpady z flotacyjnego wzbogacania rud siarkowych zawierające substancje niebezpieczne</t>
  </si>
  <si>
    <t>01 04 83</t>
  </si>
  <si>
    <t>Odpady z flotacyjnego wzbogacania rud siarkowych inne niż wymienione w 01 04 82</t>
  </si>
  <si>
    <t>01 04 84*</t>
  </si>
  <si>
    <t>01 04 85</t>
  </si>
  <si>
    <t>Odpady z flotacyjnego wzbogacania rud fosforowych (fosforytów, apatytów) inne niż wymienione w 01 04 84</t>
  </si>
  <si>
    <t>01 04 99</t>
  </si>
  <si>
    <t>01 05 04</t>
  </si>
  <si>
    <t>01 05 05*</t>
  </si>
  <si>
    <t>01 05 06*</t>
  </si>
  <si>
    <t>01 05 07</t>
  </si>
  <si>
    <t>01 05 08</t>
  </si>
  <si>
    <t>01 05 99</t>
  </si>
  <si>
    <t>02 01 01</t>
  </si>
  <si>
    <t>02 01 02</t>
  </si>
  <si>
    <t>02 01 03</t>
  </si>
  <si>
    <t>02 01 04</t>
  </si>
  <si>
    <t>02 01 06</t>
  </si>
  <si>
    <t>Odchody zwierzęce</t>
  </si>
  <si>
    <t>02 01 07</t>
  </si>
  <si>
    <t>02 01 08*</t>
  </si>
  <si>
    <t>02 01 09</t>
  </si>
  <si>
    <t>02 01 10</t>
  </si>
  <si>
    <t>02 01 80*</t>
  </si>
  <si>
    <t>02 01 81</t>
  </si>
  <si>
    <t>Zwierzęta padłe i odpadowa tkanka zwierzęca stanowiące materiał szczególnego i wysokiego ryzyka inne niż wymienione w 02 01 80</t>
  </si>
  <si>
    <t>02 01 82</t>
  </si>
  <si>
    <t>Zwierzęta padłe i ubite z konieczności</t>
  </si>
  <si>
    <t>02 01 83</t>
  </si>
  <si>
    <t>02 01 99</t>
  </si>
  <si>
    <t>02 02 01</t>
  </si>
  <si>
    <t>02 02 02</t>
  </si>
  <si>
    <t>Odpadowa tkanka zwierzęca</t>
  </si>
  <si>
    <t>02 02 03</t>
  </si>
  <si>
    <t>02 02 04</t>
  </si>
  <si>
    <t>02 02 80*</t>
  </si>
  <si>
    <t>Odpadowa tkanka zwierzęca wykazująca właściwości niebezpieczne</t>
  </si>
  <si>
    <t>02 02 81</t>
  </si>
  <si>
    <t>02 02 82</t>
  </si>
  <si>
    <t>02 02 99</t>
  </si>
  <si>
    <t>02 03 01</t>
  </si>
  <si>
    <t>02 03 02</t>
  </si>
  <si>
    <t>02 03 03</t>
  </si>
  <si>
    <t>02 03 04</t>
  </si>
  <si>
    <t>02 03 05</t>
  </si>
  <si>
    <t>02 03 80</t>
  </si>
  <si>
    <t>02 03 81</t>
  </si>
  <si>
    <t>02 03 82</t>
  </si>
  <si>
    <t>02 03 99</t>
  </si>
  <si>
    <t>02 04 02</t>
  </si>
  <si>
    <t>02 04 03</t>
  </si>
  <si>
    <t>02 04 80</t>
  </si>
  <si>
    <t>02 04 99</t>
  </si>
  <si>
    <t>02 05 01</t>
  </si>
  <si>
    <t>02 05 02</t>
  </si>
  <si>
    <t>02 05 80</t>
  </si>
  <si>
    <t>02 05 99</t>
  </si>
  <si>
    <t>02 06 01</t>
  </si>
  <si>
    <t>02 06 02</t>
  </si>
  <si>
    <t>02 06 03</t>
  </si>
  <si>
    <t>02 06 80</t>
  </si>
  <si>
    <t>02 06 99</t>
  </si>
  <si>
    <t>02 07 01</t>
  </si>
  <si>
    <t>02 07 02</t>
  </si>
  <si>
    <t>02 07 03</t>
  </si>
  <si>
    <t>02 07 04</t>
  </si>
  <si>
    <t>02 07 05</t>
  </si>
  <si>
    <t>02 07 80</t>
  </si>
  <si>
    <t>02 07 99</t>
  </si>
  <si>
    <t>03 01 01</t>
  </si>
  <si>
    <t>03 01 04*</t>
  </si>
  <si>
    <t>03 01 05</t>
  </si>
  <si>
    <t>03 01 80*</t>
  </si>
  <si>
    <t>03 01 81</t>
  </si>
  <si>
    <t>03 01 82</t>
  </si>
  <si>
    <t>03 01 99</t>
  </si>
  <si>
    <t>03 02 01*</t>
  </si>
  <si>
    <t>03 02 02*</t>
  </si>
  <si>
    <t>03 02 03*</t>
  </si>
  <si>
    <t>03 02 04*</t>
  </si>
  <si>
    <t>03 02 05*</t>
  </si>
  <si>
    <t>03 02 99</t>
  </si>
  <si>
    <t>03 03 01</t>
  </si>
  <si>
    <t>03 03 02</t>
  </si>
  <si>
    <t>03 03 05</t>
  </si>
  <si>
    <t>03 03 07</t>
  </si>
  <si>
    <t>03 03 08</t>
  </si>
  <si>
    <t>03 03 09</t>
  </si>
  <si>
    <t>03 03 10</t>
  </si>
  <si>
    <t>03 03 11</t>
  </si>
  <si>
    <t>03 03 80</t>
  </si>
  <si>
    <t>Szlamy z procesów bielenia podchlorynem lub chlorem</t>
  </si>
  <si>
    <t>03 03 81</t>
  </si>
  <si>
    <t>Szlamy z innych procesów bielenia</t>
  </si>
  <si>
    <t>03 03 99</t>
  </si>
  <si>
    <t>04 01 01</t>
  </si>
  <si>
    <t>Odpady z mizdrowania (odzierki i dwoiny wapniowe)</t>
  </si>
  <si>
    <t>04 01 02</t>
  </si>
  <si>
    <t>Odpady z wapnienia</t>
  </si>
  <si>
    <t>04 01 03*</t>
  </si>
  <si>
    <t>04 01 04</t>
  </si>
  <si>
    <t>04 01 05</t>
  </si>
  <si>
    <t>04 01 06</t>
  </si>
  <si>
    <t>04 01 07</t>
  </si>
  <si>
    <t>04 01 08</t>
  </si>
  <si>
    <t>04 01 09</t>
  </si>
  <si>
    <t>04 01 99</t>
  </si>
  <si>
    <t>04 02 09</t>
  </si>
  <si>
    <t>04 02 10</t>
  </si>
  <si>
    <t>04 02 14*</t>
  </si>
  <si>
    <t>04 02 15</t>
  </si>
  <si>
    <t>04 02 16*</t>
  </si>
  <si>
    <t>04 02 17</t>
  </si>
  <si>
    <t>04 02 19*</t>
  </si>
  <si>
    <t>04 02 20</t>
  </si>
  <si>
    <t>04 02 21</t>
  </si>
  <si>
    <t>04 02 22</t>
  </si>
  <si>
    <t>04 02 80</t>
  </si>
  <si>
    <t>04 02 99</t>
  </si>
  <si>
    <t>05 01 02*</t>
  </si>
  <si>
    <t>05 01 03*</t>
  </si>
  <si>
    <t>05 01 04*</t>
  </si>
  <si>
    <t>05 01 05*</t>
  </si>
  <si>
    <t>05 01 06*</t>
  </si>
  <si>
    <t>05 01 07*</t>
  </si>
  <si>
    <t>05 01 08*</t>
  </si>
  <si>
    <t>05 01 09*</t>
  </si>
  <si>
    <t>Osady z zakładowych oczyszczalni ścieków zawierające substancje niebezpieczne</t>
  </si>
  <si>
    <t>05 01 10</t>
  </si>
  <si>
    <t>05 01 11*</t>
  </si>
  <si>
    <t>05 01 12*</t>
  </si>
  <si>
    <t>05 01 13</t>
  </si>
  <si>
    <t>Osady z uzdatniania wody kotłowej</t>
  </si>
  <si>
    <t>05 01 14</t>
  </si>
  <si>
    <t>Odpady z kolumn chłodniczych</t>
  </si>
  <si>
    <t>05 01 15*</t>
  </si>
  <si>
    <t>05 01 16</t>
  </si>
  <si>
    <t>Odpady zawierające siarkę z odsiarczania ropy naftowej</t>
  </si>
  <si>
    <t>05 01 17</t>
  </si>
  <si>
    <t>05 01 99</t>
  </si>
  <si>
    <t>05 06 01*</t>
  </si>
  <si>
    <t>05 06 03*</t>
  </si>
  <si>
    <t>05 06 04</t>
  </si>
  <si>
    <t>05 06 80*</t>
  </si>
  <si>
    <t>Odpady ciekłe zawierające fenole</t>
  </si>
  <si>
    <t>05 06 99</t>
  </si>
  <si>
    <t>05 07 01*</t>
  </si>
  <si>
    <t>05 07 02</t>
  </si>
  <si>
    <t>05 07 99</t>
  </si>
  <si>
    <t>06 01 01*</t>
  </si>
  <si>
    <t>Kwas siarkowy i siarkawy</t>
  </si>
  <si>
    <t>06 01 02*</t>
  </si>
  <si>
    <t>Kwas chlorowodorowy</t>
  </si>
  <si>
    <t>06 01 03*</t>
  </si>
  <si>
    <t>Kwas fluorowodorowy</t>
  </si>
  <si>
    <t>06 01 04*</t>
  </si>
  <si>
    <t>06 01 05*</t>
  </si>
  <si>
    <t>06 01 06*</t>
  </si>
  <si>
    <t>Inne kwasy</t>
  </si>
  <si>
    <t>06 01 99</t>
  </si>
  <si>
    <t>06 02 01*</t>
  </si>
  <si>
    <t>06 02 03*</t>
  </si>
  <si>
    <t>06 02 04*</t>
  </si>
  <si>
    <t>06 02 05*</t>
  </si>
  <si>
    <t>06 02 99</t>
  </si>
  <si>
    <t>06 03 11*</t>
  </si>
  <si>
    <t>Sole i roztwory zawierające cyjanki</t>
  </si>
  <si>
    <t>06 03 13*</t>
  </si>
  <si>
    <t>06 03 14</t>
  </si>
  <si>
    <t>06 03 15*</t>
  </si>
  <si>
    <t>06 03 16</t>
  </si>
  <si>
    <t>06 03 99</t>
  </si>
  <si>
    <t>06 04 03*</t>
  </si>
  <si>
    <t>06 04 04*</t>
  </si>
  <si>
    <t>06 04 05*</t>
  </si>
  <si>
    <t>06 04 99</t>
  </si>
  <si>
    <t>06 05 02*</t>
  </si>
  <si>
    <t>06 05 03</t>
  </si>
  <si>
    <t>06 06 02*</t>
  </si>
  <si>
    <t>06 06 03</t>
  </si>
  <si>
    <t>06 06 99</t>
  </si>
  <si>
    <t>06 07 01*</t>
  </si>
  <si>
    <t>Odpady azbestowe z elektrolizy</t>
  </si>
  <si>
    <t>06 07 02*</t>
  </si>
  <si>
    <t>06 07 03*</t>
  </si>
  <si>
    <t>Osady siarczanu baru zawierające rtęć</t>
  </si>
  <si>
    <t>06 07 04*</t>
  </si>
  <si>
    <t>Roztwory i kwasy (np. kwas siarkowy)</t>
  </si>
  <si>
    <t>06 07 99</t>
  </si>
  <si>
    <t>06 08 02*</t>
  </si>
  <si>
    <t>06 08 99</t>
  </si>
  <si>
    <t>06 09 02</t>
  </si>
  <si>
    <t>06 09 03*</t>
  </si>
  <si>
    <t>06 09 04</t>
  </si>
  <si>
    <t>06 09 80</t>
  </si>
  <si>
    <t>06 09 81</t>
  </si>
  <si>
    <t>06 09 99</t>
  </si>
  <si>
    <t>06 10 02*</t>
  </si>
  <si>
    <t>06 10 99</t>
  </si>
  <si>
    <t>06 11 01</t>
  </si>
  <si>
    <t>06 11 80</t>
  </si>
  <si>
    <t>06 11 81</t>
  </si>
  <si>
    <t>06 11 82</t>
  </si>
  <si>
    <t>06 11 83</t>
  </si>
  <si>
    <t>06 13 01*</t>
  </si>
  <si>
    <t>06 13 02*</t>
  </si>
  <si>
    <t>06 13 03</t>
  </si>
  <si>
    <t>06 13 04*</t>
  </si>
  <si>
    <t>Odpady z przetwarzania azbestu</t>
  </si>
  <si>
    <t>06 13 05*</t>
  </si>
  <si>
    <t>06 13 99</t>
  </si>
  <si>
    <t>07 01 01*</t>
  </si>
  <si>
    <t>07 01 03*</t>
  </si>
  <si>
    <t>07 01 04*</t>
  </si>
  <si>
    <t>07 01 07*</t>
  </si>
  <si>
    <t>07 01 08*</t>
  </si>
  <si>
    <t>07 01 09*</t>
  </si>
  <si>
    <t>07 01 10*</t>
  </si>
  <si>
    <t>07 01 11*</t>
  </si>
  <si>
    <t>07 01 12</t>
  </si>
  <si>
    <t>07 01 80</t>
  </si>
  <si>
    <t>07 01 99</t>
  </si>
  <si>
    <t>07 02 01*</t>
  </si>
  <si>
    <t>07 02 03*</t>
  </si>
  <si>
    <t>07 02 04*</t>
  </si>
  <si>
    <t>07 02 07*</t>
  </si>
  <si>
    <t>07 02 08*</t>
  </si>
  <si>
    <t>07 02 09*</t>
  </si>
  <si>
    <t>07 02 10*</t>
  </si>
  <si>
    <t>07 02 11*</t>
  </si>
  <si>
    <t>07 02 12</t>
  </si>
  <si>
    <t>07 02 13</t>
  </si>
  <si>
    <t>07 02 14*</t>
  </si>
  <si>
    <t>07 02 15</t>
  </si>
  <si>
    <t>07 02 16*</t>
  </si>
  <si>
    <t>07 02 17</t>
  </si>
  <si>
    <t>07 02 80</t>
  </si>
  <si>
    <t>07 02 99</t>
  </si>
  <si>
    <t>07 03 01*</t>
  </si>
  <si>
    <t>07 03 03*</t>
  </si>
  <si>
    <t>07 03 04*</t>
  </si>
  <si>
    <t>07 03 07*</t>
  </si>
  <si>
    <t>07 03 08*</t>
  </si>
  <si>
    <t>07 03 09*</t>
  </si>
  <si>
    <t>07 03 10*</t>
  </si>
  <si>
    <t>07 03 11*</t>
  </si>
  <si>
    <t>07 03 12</t>
  </si>
  <si>
    <t>07 03 99</t>
  </si>
  <si>
    <t>07 04 01*</t>
  </si>
  <si>
    <t>07 04 03*</t>
  </si>
  <si>
    <t>07 04 04*</t>
  </si>
  <si>
    <t>07 04 07*</t>
  </si>
  <si>
    <t>07 04 08*</t>
  </si>
  <si>
    <t>07 04 09*</t>
  </si>
  <si>
    <t>07 04 10*</t>
  </si>
  <si>
    <t>07 04 11*</t>
  </si>
  <si>
    <t>07 04 12</t>
  </si>
  <si>
    <t>07 04 13*</t>
  </si>
  <si>
    <t>07 04 80*</t>
  </si>
  <si>
    <t>07 04 81</t>
  </si>
  <si>
    <t>07 04 99</t>
  </si>
  <si>
    <t>07 05 01*</t>
  </si>
  <si>
    <t>07 05 03*</t>
  </si>
  <si>
    <t>07 05 04*</t>
  </si>
  <si>
    <t>07 05 07*</t>
  </si>
  <si>
    <t>07 05 08*</t>
  </si>
  <si>
    <t>07 05 09*</t>
  </si>
  <si>
    <t>07 05 10*</t>
  </si>
  <si>
    <t>07 05 11*</t>
  </si>
  <si>
    <t>07 05 12</t>
  </si>
  <si>
    <t>07 05 13*</t>
  </si>
  <si>
    <t>07 05 14</t>
  </si>
  <si>
    <t>07 05 80*</t>
  </si>
  <si>
    <t>07 05 81</t>
  </si>
  <si>
    <t>07 05 99</t>
  </si>
  <si>
    <t>07 06 01*</t>
  </si>
  <si>
    <t>07 06 03*</t>
  </si>
  <si>
    <t>07 06 04*</t>
  </si>
  <si>
    <t>07 06 07*</t>
  </si>
  <si>
    <t>07 06 08*</t>
  </si>
  <si>
    <t>07 06 09*</t>
  </si>
  <si>
    <t>07 06 10*</t>
  </si>
  <si>
    <t>07 06 11*</t>
  </si>
  <si>
    <t>07 06 12</t>
  </si>
  <si>
    <t>07 06 80</t>
  </si>
  <si>
    <t>07 06 81</t>
  </si>
  <si>
    <t>07 06 99</t>
  </si>
  <si>
    <t>07 07 01*</t>
  </si>
  <si>
    <t>07 07 03*</t>
  </si>
  <si>
    <t>07 07 04*</t>
  </si>
  <si>
    <t>07 07 07*</t>
  </si>
  <si>
    <t>07 07 08*</t>
  </si>
  <si>
    <t>07 07 09*</t>
  </si>
  <si>
    <t>07 07 10*</t>
  </si>
  <si>
    <t>07 07 11*</t>
  </si>
  <si>
    <t>07 07 12</t>
  </si>
  <si>
    <t>07 07 99</t>
  </si>
  <si>
    <t>08 01 11*</t>
  </si>
  <si>
    <t>08 01 12</t>
  </si>
  <si>
    <t>08 01 13*</t>
  </si>
  <si>
    <t>08 01 14</t>
  </si>
  <si>
    <t>08 01 15*</t>
  </si>
  <si>
    <t>08 01 16</t>
  </si>
  <si>
    <t>08 01 17*</t>
  </si>
  <si>
    <t>08 01 18</t>
  </si>
  <si>
    <t>08 01 19*</t>
  </si>
  <si>
    <t>08 01 20</t>
  </si>
  <si>
    <t>08 01 21*</t>
  </si>
  <si>
    <t>08 01 99</t>
  </si>
  <si>
    <t>08 02 01</t>
  </si>
  <si>
    <t>08 02 02</t>
  </si>
  <si>
    <t>08 02 03</t>
  </si>
  <si>
    <t>08 02 99</t>
  </si>
  <si>
    <t>08 03 08</t>
  </si>
  <si>
    <t>08 03 12*</t>
  </si>
  <si>
    <t>08 03 13</t>
  </si>
  <si>
    <t>08 03 14*</t>
  </si>
  <si>
    <t>08 03 15</t>
  </si>
  <si>
    <t>08 03 16*</t>
  </si>
  <si>
    <t>08 03 17*</t>
  </si>
  <si>
    <t>08 03 18</t>
  </si>
  <si>
    <t>08 03 19*</t>
  </si>
  <si>
    <t>08 03 80</t>
  </si>
  <si>
    <t>08 03 99</t>
  </si>
  <si>
    <t>08 04 09*</t>
  </si>
  <si>
    <t>08 04 10</t>
  </si>
  <si>
    <t>08 04 11*</t>
  </si>
  <si>
    <t>08 04 12</t>
  </si>
  <si>
    <t>08 04 13*</t>
  </si>
  <si>
    <t>08 04 14</t>
  </si>
  <si>
    <t>08 04 15*</t>
  </si>
  <si>
    <t>08 04 16</t>
  </si>
  <si>
    <t>08 04 17*</t>
  </si>
  <si>
    <t>08 04 99</t>
  </si>
  <si>
    <t>08 05 01*</t>
  </si>
  <si>
    <t>Odpady izocyjanianów</t>
  </si>
  <si>
    <t>09 01 01*</t>
  </si>
  <si>
    <t>09 01 02*</t>
  </si>
  <si>
    <t>09 01 03*</t>
  </si>
  <si>
    <t>09 01 04*</t>
  </si>
  <si>
    <t>09 01 05*</t>
  </si>
  <si>
    <t>09 01 06*</t>
  </si>
  <si>
    <t>09 01 07</t>
  </si>
  <si>
    <t>09 01 08</t>
  </si>
  <si>
    <t>09 01 10</t>
  </si>
  <si>
    <t>09 01 11*</t>
  </si>
  <si>
    <t>09 01 12</t>
  </si>
  <si>
    <t>09 01 13*</t>
  </si>
  <si>
    <t>09 01 80*</t>
  </si>
  <si>
    <t>09 01 99</t>
  </si>
  <si>
    <t>10 01 01</t>
  </si>
  <si>
    <t>10 01 02</t>
  </si>
  <si>
    <t>10 01 04*</t>
  </si>
  <si>
    <t>10 01 05</t>
  </si>
  <si>
    <t>10 01 07</t>
  </si>
  <si>
    <t>10 01 09*</t>
  </si>
  <si>
    <t>10 01 13*</t>
  </si>
  <si>
    <t>10 01 14*</t>
  </si>
  <si>
    <t>10 01 15</t>
  </si>
  <si>
    <t>10 01 16*</t>
  </si>
  <si>
    <t>10 01 17</t>
  </si>
  <si>
    <t>10 01 18*</t>
  </si>
  <si>
    <t>Odpady z oczyszczania gazów odlotowych zawierające substancje niebezpieczne</t>
  </si>
  <si>
    <t>10 01 19</t>
  </si>
  <si>
    <t>10 01 20*</t>
  </si>
  <si>
    <t>10 01 21</t>
  </si>
  <si>
    <t>10 01 22*</t>
  </si>
  <si>
    <t>10 01 23</t>
  </si>
  <si>
    <t>10 01 24</t>
  </si>
  <si>
    <t>10 01 25</t>
  </si>
  <si>
    <t>10 01 26</t>
  </si>
  <si>
    <t>10 01 80</t>
  </si>
  <si>
    <t>10 01 81</t>
  </si>
  <si>
    <t>10 01 82</t>
  </si>
  <si>
    <t>10 01 99</t>
  </si>
  <si>
    <t>10 02 01</t>
  </si>
  <si>
    <t>10 02 02</t>
  </si>
  <si>
    <t>10 02 07*</t>
  </si>
  <si>
    <t>Odpady stałe z oczyszczania gazów odlotowych zawierające substancje niebezpieczne</t>
  </si>
  <si>
    <t>10 02 08</t>
  </si>
  <si>
    <t>10 02 10</t>
  </si>
  <si>
    <t>10 02 11*</t>
  </si>
  <si>
    <t>10 02 12</t>
  </si>
  <si>
    <t>10 02 13*</t>
  </si>
  <si>
    <t>10 02 14</t>
  </si>
  <si>
    <t>10 02 15</t>
  </si>
  <si>
    <t>10 02 80</t>
  </si>
  <si>
    <t>10 02 81</t>
  </si>
  <si>
    <t>10 02 99</t>
  </si>
  <si>
    <t>10 03 02</t>
  </si>
  <si>
    <t>10 03 04*</t>
  </si>
  <si>
    <t>10 03 05</t>
  </si>
  <si>
    <t>10 03 08*</t>
  </si>
  <si>
    <t>10 03 09*</t>
  </si>
  <si>
    <t>10 03 15*</t>
  </si>
  <si>
    <t>10 03 16</t>
  </si>
  <si>
    <t>10 03 17*</t>
  </si>
  <si>
    <t>10 03 18</t>
  </si>
  <si>
    <t>10 03 19*</t>
  </si>
  <si>
    <t>10 03 20</t>
  </si>
  <si>
    <t>10 03 21*</t>
  </si>
  <si>
    <t>10 03 22</t>
  </si>
  <si>
    <t>10 03 23*</t>
  </si>
  <si>
    <t>10 03 24</t>
  </si>
  <si>
    <t>10 03 25*</t>
  </si>
  <si>
    <t>10 03 26</t>
  </si>
  <si>
    <t>10 03 27*</t>
  </si>
  <si>
    <t>10 03 28</t>
  </si>
  <si>
    <t>10 03 29*</t>
  </si>
  <si>
    <t>10 03 30</t>
  </si>
  <si>
    <t>10 03 99</t>
  </si>
  <si>
    <t>10 04 01*</t>
  </si>
  <si>
    <t>10 04 02*</t>
  </si>
  <si>
    <t>10 04 03*</t>
  </si>
  <si>
    <t>10 04 04*</t>
  </si>
  <si>
    <t>10 04 05*</t>
  </si>
  <si>
    <t>10 04 06*</t>
  </si>
  <si>
    <t>Odpady stałe z oczyszczania gazów odlotowych</t>
  </si>
  <si>
    <t>10 04 07*</t>
  </si>
  <si>
    <t>Szlamy i osady pofiltracyjne z oczyszczania gazów odlotowych</t>
  </si>
  <si>
    <t>10 04 09*</t>
  </si>
  <si>
    <t>10 04 10</t>
  </si>
  <si>
    <t>10 04 99</t>
  </si>
  <si>
    <t>10 05 01</t>
  </si>
  <si>
    <t>10 05 03*</t>
  </si>
  <si>
    <t>10 05 04</t>
  </si>
  <si>
    <t>10 05 05*</t>
  </si>
  <si>
    <t>10 05 06*</t>
  </si>
  <si>
    <t>10 05 08*</t>
  </si>
  <si>
    <t>10 05 09</t>
  </si>
  <si>
    <t>10 05 10*</t>
  </si>
  <si>
    <t>10 05 11</t>
  </si>
  <si>
    <t>10 05 80</t>
  </si>
  <si>
    <t>10 05 99</t>
  </si>
  <si>
    <t>10 06 01</t>
  </si>
  <si>
    <t>10 06 02</t>
  </si>
  <si>
    <t>10 06 03*</t>
  </si>
  <si>
    <t>10 06 04</t>
  </si>
  <si>
    <t>10 06 06*</t>
  </si>
  <si>
    <t>10 06 07*</t>
  </si>
  <si>
    <t>10 06 09*</t>
  </si>
  <si>
    <t>10 06 10</t>
  </si>
  <si>
    <t>10 06 80</t>
  </si>
  <si>
    <t>10 06 99</t>
  </si>
  <si>
    <t>10 07 01</t>
  </si>
  <si>
    <t>10 07 02</t>
  </si>
  <si>
    <t>10 07 03</t>
  </si>
  <si>
    <t>10 07 04</t>
  </si>
  <si>
    <t>10 07 05</t>
  </si>
  <si>
    <t>10 07 07*</t>
  </si>
  <si>
    <t>10 07 08</t>
  </si>
  <si>
    <t>10 07 99</t>
  </si>
  <si>
    <t>10 08 04</t>
  </si>
  <si>
    <t>Cząstki i pyły</t>
  </si>
  <si>
    <t>10 08 08*</t>
  </si>
  <si>
    <t>10 08 09</t>
  </si>
  <si>
    <t>10 08 10*</t>
  </si>
  <si>
    <t>10 08 11</t>
  </si>
  <si>
    <t>10 08 12*</t>
  </si>
  <si>
    <t>10 08 13</t>
  </si>
  <si>
    <t>10 08 14</t>
  </si>
  <si>
    <t>10 08 15*</t>
  </si>
  <si>
    <t>10 08 16</t>
  </si>
  <si>
    <t>10 08 17*</t>
  </si>
  <si>
    <t>10 08 18</t>
  </si>
  <si>
    <t>10 08 19*</t>
  </si>
  <si>
    <t>10 08 20</t>
  </si>
  <si>
    <t>10 08 99</t>
  </si>
  <si>
    <t>10 09 03</t>
  </si>
  <si>
    <t>10 09 05*</t>
  </si>
  <si>
    <t>10 09 06</t>
  </si>
  <si>
    <t>10 09 07*</t>
  </si>
  <si>
    <t>10 09 08</t>
  </si>
  <si>
    <t>10 09 09*</t>
  </si>
  <si>
    <t>10 09 10</t>
  </si>
  <si>
    <t>10 09 11*</t>
  </si>
  <si>
    <t>10 09 12</t>
  </si>
  <si>
    <t>10 09 13*</t>
  </si>
  <si>
    <t>10 09 14</t>
  </si>
  <si>
    <t>10 09 15*</t>
  </si>
  <si>
    <t>10 09 16</t>
  </si>
  <si>
    <t>10 09 80</t>
  </si>
  <si>
    <t>10 09 99</t>
  </si>
  <si>
    <t>10 10 03</t>
  </si>
  <si>
    <t>10 10 05*</t>
  </si>
  <si>
    <t>10 10 06</t>
  </si>
  <si>
    <t>10 10 07*</t>
  </si>
  <si>
    <t>10 10 08</t>
  </si>
  <si>
    <t>10 10 09*</t>
  </si>
  <si>
    <t>10 10 10</t>
  </si>
  <si>
    <t>10 10 11*</t>
  </si>
  <si>
    <t>10 10 12</t>
  </si>
  <si>
    <t>10 10 13*</t>
  </si>
  <si>
    <t>10 10 14</t>
  </si>
  <si>
    <t>10 10 15*</t>
  </si>
  <si>
    <t>10 10 16</t>
  </si>
  <si>
    <t>10 10 99</t>
  </si>
  <si>
    <t>10 11 03</t>
  </si>
  <si>
    <t>10 11 05</t>
  </si>
  <si>
    <t>10 11 09*</t>
  </si>
  <si>
    <t>10 11 10</t>
  </si>
  <si>
    <t>10 11 11*</t>
  </si>
  <si>
    <t>10 11 12</t>
  </si>
  <si>
    <t>10 11 13*</t>
  </si>
  <si>
    <t>10 11 14</t>
  </si>
  <si>
    <t>10 11 15*</t>
  </si>
  <si>
    <t>10 11 16</t>
  </si>
  <si>
    <t>10 11 17*</t>
  </si>
  <si>
    <t>10 11 18</t>
  </si>
  <si>
    <t>10 11 19*</t>
  </si>
  <si>
    <t>10 11 20</t>
  </si>
  <si>
    <t>10 11 80</t>
  </si>
  <si>
    <t>10 11 81*</t>
  </si>
  <si>
    <t>10 11 99</t>
  </si>
  <si>
    <t>10 12 01</t>
  </si>
  <si>
    <t>Odpady z przygotowania mas wsadowych do obróbki termicznej</t>
  </si>
  <si>
    <t>10 12 03</t>
  </si>
  <si>
    <t>10 12 05</t>
  </si>
  <si>
    <t>10 12 06</t>
  </si>
  <si>
    <t>Zużyte formy</t>
  </si>
  <si>
    <t>10 12 08</t>
  </si>
  <si>
    <t>Wybrakowane wyroby ceramiczne, cegły, kafle i ceramika budowlana (po przeróbce termicznej)</t>
  </si>
  <si>
    <t>10 12 09*</t>
  </si>
  <si>
    <t>10 12 10</t>
  </si>
  <si>
    <t>Odpady stałe z oczyszczania gazów odlotowych inne niż wymienione w 10 12 09</t>
  </si>
  <si>
    <t>10 12 11*</t>
  </si>
  <si>
    <t>Odpady ze szkliwienia zawierające metale ciężkie</t>
  </si>
  <si>
    <t>10 12 12</t>
  </si>
  <si>
    <t>Odpady ze szkliwienia inne niż wymienione w 10 12 11</t>
  </si>
  <si>
    <t>10 12 13</t>
  </si>
  <si>
    <t>10 12 99</t>
  </si>
  <si>
    <t>10 13 01</t>
  </si>
  <si>
    <t>10 13 04</t>
  </si>
  <si>
    <t>10 13 06</t>
  </si>
  <si>
    <t>10 13 07</t>
  </si>
  <si>
    <t>10 13 09*</t>
  </si>
  <si>
    <t>10 13 10</t>
  </si>
  <si>
    <t>10 13 11</t>
  </si>
  <si>
    <t>10 13 12*</t>
  </si>
  <si>
    <t>10 13 13</t>
  </si>
  <si>
    <t>10 13 14</t>
  </si>
  <si>
    <t>Odpady betonowe i szlam betonowy</t>
  </si>
  <si>
    <t>10 13 80</t>
  </si>
  <si>
    <t>Odpady z produkcji cementu</t>
  </si>
  <si>
    <t>10 13 81</t>
  </si>
  <si>
    <t>Odpady z produkcji gipsu</t>
  </si>
  <si>
    <t>10 13 82</t>
  </si>
  <si>
    <t>Wybrakowane wyroby</t>
  </si>
  <si>
    <t>10 13 99</t>
  </si>
  <si>
    <t>10 14 01*</t>
  </si>
  <si>
    <t>Odpady z oczyszczania gazów odlotowych zawierające rtęć</t>
  </si>
  <si>
    <t>10 80 01</t>
  </si>
  <si>
    <t>Żużle z produkcji żelazokrzemu</t>
  </si>
  <si>
    <t>10 80 02</t>
  </si>
  <si>
    <t>Pyły z produkcji żelazokrzemu</t>
  </si>
  <si>
    <t>10 80 03</t>
  </si>
  <si>
    <t>Żużle z produkcji żelazochromu</t>
  </si>
  <si>
    <t>10 80 04</t>
  </si>
  <si>
    <t>Pyły z produkcji żelazochromu</t>
  </si>
  <si>
    <t>10 80 05</t>
  </si>
  <si>
    <t>Żużle z produkcji żelazomanganu</t>
  </si>
  <si>
    <t>10 80 06</t>
  </si>
  <si>
    <t>Pyły z produkcji żelazomanganu</t>
  </si>
  <si>
    <t>10 80 99</t>
  </si>
  <si>
    <t>11 01 05*</t>
  </si>
  <si>
    <t>11 01 06*</t>
  </si>
  <si>
    <t>11 01 07*</t>
  </si>
  <si>
    <t>11 01 08*</t>
  </si>
  <si>
    <t>11 01 09*</t>
  </si>
  <si>
    <t>11 01 10</t>
  </si>
  <si>
    <t>11 01 11*</t>
  </si>
  <si>
    <t>11 01 12</t>
  </si>
  <si>
    <t>11 01 13*</t>
  </si>
  <si>
    <t>11 01 14</t>
  </si>
  <si>
    <t>11 01 15*</t>
  </si>
  <si>
    <t>11 01 16*</t>
  </si>
  <si>
    <t>11 01 98*</t>
  </si>
  <si>
    <t>11 01 99</t>
  </si>
  <si>
    <t>11 02 02*</t>
  </si>
  <si>
    <t>11 02 03</t>
  </si>
  <si>
    <t>Odpady z produkcji anod dla procesów elektrolizy</t>
  </si>
  <si>
    <t>11 02 05*</t>
  </si>
  <si>
    <t>Odpady z hydrometalurgii miedzi zawierające substancje niebezpieczne</t>
  </si>
  <si>
    <t>11 02 06</t>
  </si>
  <si>
    <t>Odpady z hydrometalurgii miedzi inne niż wymienione w 11 02 05</t>
  </si>
  <si>
    <t>11 02 07*</t>
  </si>
  <si>
    <t>11 02 99</t>
  </si>
  <si>
    <t>11 03 01*</t>
  </si>
  <si>
    <t>11 03 02*</t>
  </si>
  <si>
    <t>11 05 01</t>
  </si>
  <si>
    <t>Cynk twardy</t>
  </si>
  <si>
    <t>11 05 02</t>
  </si>
  <si>
    <t>Popiół cynkowy</t>
  </si>
  <si>
    <t>11 05 03*</t>
  </si>
  <si>
    <t>11 05 04*</t>
  </si>
  <si>
    <t>Zużyty topnik</t>
  </si>
  <si>
    <t>11 05 99</t>
  </si>
  <si>
    <t>12 01 01</t>
  </si>
  <si>
    <t>12 01 02</t>
  </si>
  <si>
    <t>12 01 03</t>
  </si>
  <si>
    <t>12 01 04</t>
  </si>
  <si>
    <t>12 01 05</t>
  </si>
  <si>
    <t>12 01 06*</t>
  </si>
  <si>
    <t>12 01 07*</t>
  </si>
  <si>
    <t>12 01 08*</t>
  </si>
  <si>
    <t>12 01 09*</t>
  </si>
  <si>
    <t>12 01 10*</t>
  </si>
  <si>
    <t>12 01 12*</t>
  </si>
  <si>
    <t>12 01 13</t>
  </si>
  <si>
    <t>12 01 14*</t>
  </si>
  <si>
    <t>12 01 15</t>
  </si>
  <si>
    <t>12 01 16*</t>
  </si>
  <si>
    <t>12 01 17</t>
  </si>
  <si>
    <t>12 01 18*</t>
  </si>
  <si>
    <t>12 01 19*</t>
  </si>
  <si>
    <t>12 01 20*</t>
  </si>
  <si>
    <t>12 01 21</t>
  </si>
  <si>
    <t>12 01 99</t>
  </si>
  <si>
    <t>12 03 01*</t>
  </si>
  <si>
    <t>12 03 02*</t>
  </si>
  <si>
    <t>13 01 01*</t>
  </si>
  <si>
    <t>13 01 04*</t>
  </si>
  <si>
    <t>13 01 05*</t>
  </si>
  <si>
    <t>13 01 09*</t>
  </si>
  <si>
    <t>13 01 10*</t>
  </si>
  <si>
    <t>13 01 11*</t>
  </si>
  <si>
    <t>13 01 12*</t>
  </si>
  <si>
    <t>13 01 13*</t>
  </si>
  <si>
    <t>13 02 04*</t>
  </si>
  <si>
    <t>13 02 05*</t>
  </si>
  <si>
    <t>13 02 06*</t>
  </si>
  <si>
    <t>13 02 07*</t>
  </si>
  <si>
    <t>13 02 08*</t>
  </si>
  <si>
    <t>13 03 01*</t>
  </si>
  <si>
    <t>13 03 06*</t>
  </si>
  <si>
    <t>13 03 07*</t>
  </si>
  <si>
    <t>13 03 08*</t>
  </si>
  <si>
    <t>13 03 09*</t>
  </si>
  <si>
    <t>13 03 10*</t>
  </si>
  <si>
    <t>13 04 01*</t>
  </si>
  <si>
    <t>13 04 02*</t>
  </si>
  <si>
    <t>13 04 03*</t>
  </si>
  <si>
    <t>13 05 01*</t>
  </si>
  <si>
    <t>13 05 02*</t>
  </si>
  <si>
    <t>13 05 03*</t>
  </si>
  <si>
    <t>13 05 06*</t>
  </si>
  <si>
    <t>13 05 07*</t>
  </si>
  <si>
    <t>13 05 08*</t>
  </si>
  <si>
    <t>13 07 01*</t>
  </si>
  <si>
    <t>13 07 02*</t>
  </si>
  <si>
    <t>13 07 03*</t>
  </si>
  <si>
    <t>13 08 01*</t>
  </si>
  <si>
    <t>13 08 02*</t>
  </si>
  <si>
    <t>13 08 80</t>
  </si>
  <si>
    <t>13 08 99*</t>
  </si>
  <si>
    <t>14 06 01*</t>
  </si>
  <si>
    <t>14 06 02*</t>
  </si>
  <si>
    <t>14 06 03*</t>
  </si>
  <si>
    <t>14 06 04*</t>
  </si>
  <si>
    <t>14 06 05*</t>
  </si>
  <si>
    <t>15 01 01</t>
  </si>
  <si>
    <t>15 01 02</t>
  </si>
  <si>
    <t>15 01 03</t>
  </si>
  <si>
    <t>15 01 04</t>
  </si>
  <si>
    <t>15 01 05</t>
  </si>
  <si>
    <t>15 01 06</t>
  </si>
  <si>
    <t>15 01 07</t>
  </si>
  <si>
    <t>15 01 09</t>
  </si>
  <si>
    <t>15 01 10*</t>
  </si>
  <si>
    <t>15 01 11*</t>
  </si>
  <si>
    <t>15 02 02*</t>
  </si>
  <si>
    <t>15 02 03</t>
  </si>
  <si>
    <t>16 01 03</t>
  </si>
  <si>
    <t>16 01 04*</t>
  </si>
  <si>
    <t>16 01 06</t>
  </si>
  <si>
    <t>16 01 07*</t>
  </si>
  <si>
    <t>16 01 08*</t>
  </si>
  <si>
    <t>16 01 09*</t>
  </si>
  <si>
    <t>16 01 10*</t>
  </si>
  <si>
    <t>16 01 11*</t>
  </si>
  <si>
    <t>16 01 12</t>
  </si>
  <si>
    <t>16 01 13*</t>
  </si>
  <si>
    <t>16 01 14*</t>
  </si>
  <si>
    <t>16 01 15</t>
  </si>
  <si>
    <t>16 01 16</t>
  </si>
  <si>
    <t>16 01 17</t>
  </si>
  <si>
    <t>16 01 18</t>
  </si>
  <si>
    <t>16 01 19</t>
  </si>
  <si>
    <t>16 01 20</t>
  </si>
  <si>
    <t>16 01 21*</t>
  </si>
  <si>
    <t>16 01 22</t>
  </si>
  <si>
    <t>16 01 99</t>
  </si>
  <si>
    <t>16 02 09*</t>
  </si>
  <si>
    <t>16 02 10*</t>
  </si>
  <si>
    <t>16 02 11*</t>
  </si>
  <si>
    <t>16 02 12*</t>
  </si>
  <si>
    <t>16 02 13*</t>
  </si>
  <si>
    <t>16 02 14</t>
  </si>
  <si>
    <t>16 02 15*</t>
  </si>
  <si>
    <t>16 02 16</t>
  </si>
  <si>
    <t>16 03 03*</t>
  </si>
  <si>
    <t>16 03 04</t>
  </si>
  <si>
    <t>16 03 05*</t>
  </si>
  <si>
    <t>16 03 06</t>
  </si>
  <si>
    <t>16 03 80</t>
  </si>
  <si>
    <t>16 04 01*</t>
  </si>
  <si>
    <t>Odpadowa amunicja</t>
  </si>
  <si>
    <t>16 04 02*</t>
  </si>
  <si>
    <t>Odpadowe wyroby pirotechniczne (np. ognie sztuczne)</t>
  </si>
  <si>
    <t>16 04 03*</t>
  </si>
  <si>
    <t>Inne materiały wybuchowe</t>
  </si>
  <si>
    <t>16 05 04*</t>
  </si>
  <si>
    <t>16 05 05</t>
  </si>
  <si>
    <t>16 05 06*</t>
  </si>
  <si>
    <t>16 05 07*</t>
  </si>
  <si>
    <t>16 05 08*</t>
  </si>
  <si>
    <t>16 05 09</t>
  </si>
  <si>
    <t>16 06 01*</t>
  </si>
  <si>
    <t>16 06 02*</t>
  </si>
  <si>
    <t>16 06 03*</t>
  </si>
  <si>
    <t>16 06 04</t>
  </si>
  <si>
    <t>16 06 05</t>
  </si>
  <si>
    <t>16 06 06*</t>
  </si>
  <si>
    <t>16 07 08*</t>
  </si>
  <si>
    <t>16 07 09*</t>
  </si>
  <si>
    <t>16 07 99</t>
  </si>
  <si>
    <t>16 08 01</t>
  </si>
  <si>
    <t>16 08 02*</t>
  </si>
  <si>
    <t>16 08 03</t>
  </si>
  <si>
    <t>16 08 04</t>
  </si>
  <si>
    <t>16 08 05*</t>
  </si>
  <si>
    <t>16 08 06*</t>
  </si>
  <si>
    <t>16 08 07*</t>
  </si>
  <si>
    <t>16 09 01*</t>
  </si>
  <si>
    <t>Nadmanganiany (np. nadmanganian potasowy)</t>
  </si>
  <si>
    <t>16 09 02*</t>
  </si>
  <si>
    <t>Chromiany (np. chromian potasowy, dwuchromian sodowy lub potasowy)</t>
  </si>
  <si>
    <t>16 09 03*</t>
  </si>
  <si>
    <t>Nadtlenki (np. nadtlenek wodoru)</t>
  </si>
  <si>
    <t>16 09 04*</t>
  </si>
  <si>
    <t>16 10 01*</t>
  </si>
  <si>
    <t>16 10 02</t>
  </si>
  <si>
    <t>16 10 03*</t>
  </si>
  <si>
    <t>16 10 04</t>
  </si>
  <si>
    <t>16 11 01*</t>
  </si>
  <si>
    <t>Węglopochodne okładziny piecowe i materiały ogniotrwałe z procesów metalurgicznych zawierające substancje niebezpieczne</t>
  </si>
  <si>
    <t>16 11 02</t>
  </si>
  <si>
    <t>Węglopochodne okładziny piecowe i materiały ogniotrwałe z procesów metalurgicznych inne niż wymienione w 16 11 01</t>
  </si>
  <si>
    <t>16 11 03*</t>
  </si>
  <si>
    <t>Inne okładziny piecowe i materiały ogniotrwałe z procesów metalurgicznych zawierające substancje niebezpieczne</t>
  </si>
  <si>
    <t>16 11 04</t>
  </si>
  <si>
    <t>Okładziny piecowe i materiały ogniotrwałe z procesów metalurgicznych inne niż wymienione w 16 11 03</t>
  </si>
  <si>
    <t>16 11 05*</t>
  </si>
  <si>
    <t>Okładziny piecowe i materiały ogniotrwałe z procesów niemetalurgicznych zawierające substancje niebezpieczne</t>
  </si>
  <si>
    <t>16 11 06</t>
  </si>
  <si>
    <t>16 80 01</t>
  </si>
  <si>
    <t>16 81 01*</t>
  </si>
  <si>
    <t>16 81 02</t>
  </si>
  <si>
    <t>16 82 01*</t>
  </si>
  <si>
    <t>16 82 02</t>
  </si>
  <si>
    <t>17 01 01</t>
  </si>
  <si>
    <t>17 01 02</t>
  </si>
  <si>
    <t>17 01 03</t>
  </si>
  <si>
    <t>17 01 06*</t>
  </si>
  <si>
    <t>17 01 07</t>
  </si>
  <si>
    <t>17 01 80</t>
  </si>
  <si>
    <t>17 01 81</t>
  </si>
  <si>
    <t>17 01 82</t>
  </si>
  <si>
    <t>17 02 01</t>
  </si>
  <si>
    <t>17 02 02</t>
  </si>
  <si>
    <t>17 02 03</t>
  </si>
  <si>
    <t>17 02 04*</t>
  </si>
  <si>
    <t>17 03 01*</t>
  </si>
  <si>
    <t>17 03 02</t>
  </si>
  <si>
    <t>17 03 03*</t>
  </si>
  <si>
    <t>17 03 80</t>
  </si>
  <si>
    <t>17 04 01</t>
  </si>
  <si>
    <t>17 04 02</t>
  </si>
  <si>
    <t>17 04 03</t>
  </si>
  <si>
    <t>17 04 04</t>
  </si>
  <si>
    <t>17 04 05</t>
  </si>
  <si>
    <t>17 04 06</t>
  </si>
  <si>
    <t>17 04 07</t>
  </si>
  <si>
    <t>17 04 09*</t>
  </si>
  <si>
    <t>17 04 10*</t>
  </si>
  <si>
    <t>17 04 11</t>
  </si>
  <si>
    <t>17 05 03*</t>
  </si>
  <si>
    <t>17 05 04</t>
  </si>
  <si>
    <t>17 05 05*</t>
  </si>
  <si>
    <t>17 05 06</t>
  </si>
  <si>
    <t>17 05 07*</t>
  </si>
  <si>
    <t>17 05 08</t>
  </si>
  <si>
    <t>17 06 01*</t>
  </si>
  <si>
    <t>17 06 03*</t>
  </si>
  <si>
    <t>17 06 04</t>
  </si>
  <si>
    <t>17 06 05*</t>
  </si>
  <si>
    <t>17 08 01*</t>
  </si>
  <si>
    <t>17 08 02</t>
  </si>
  <si>
    <t>17 09 01*</t>
  </si>
  <si>
    <t>17 09 02*</t>
  </si>
  <si>
    <t>17 09 03*</t>
  </si>
  <si>
    <t>17 09 04</t>
  </si>
  <si>
    <t>18 01 01</t>
  </si>
  <si>
    <t>18 01 02*</t>
  </si>
  <si>
    <t>18 01 03*</t>
  </si>
  <si>
    <t>18 01 04</t>
  </si>
  <si>
    <t>18 01 06*</t>
  </si>
  <si>
    <t>18 01 07</t>
  </si>
  <si>
    <t>18 01 08*</t>
  </si>
  <si>
    <t>18 01 09</t>
  </si>
  <si>
    <t>18 01 10*</t>
  </si>
  <si>
    <t>18 01 80*</t>
  </si>
  <si>
    <t>18 01 81</t>
  </si>
  <si>
    <t>18 01 82*</t>
  </si>
  <si>
    <t>18 02 01</t>
  </si>
  <si>
    <t>18 02 02*</t>
  </si>
  <si>
    <t>18 02 03</t>
  </si>
  <si>
    <t>18 02 05*</t>
  </si>
  <si>
    <t>18 02 06</t>
  </si>
  <si>
    <t>18 02 07*</t>
  </si>
  <si>
    <t>18 02 08</t>
  </si>
  <si>
    <t>19 01 02</t>
  </si>
  <si>
    <t>19 01 05*</t>
  </si>
  <si>
    <t>19 01 06*</t>
  </si>
  <si>
    <t>19 01 07*</t>
  </si>
  <si>
    <t>19 01 10*</t>
  </si>
  <si>
    <t>19 01 11*</t>
  </si>
  <si>
    <t>19 01 12</t>
  </si>
  <si>
    <t>19 01 13*</t>
  </si>
  <si>
    <t>19 01 14</t>
  </si>
  <si>
    <t>19 01 15*</t>
  </si>
  <si>
    <t>19 01 16</t>
  </si>
  <si>
    <t>19 01 17*</t>
  </si>
  <si>
    <t>19 01 18</t>
  </si>
  <si>
    <t>19 01 19</t>
  </si>
  <si>
    <t>19 01 99</t>
  </si>
  <si>
    <t>19 02 03</t>
  </si>
  <si>
    <t>19 02 04*</t>
  </si>
  <si>
    <t>19 02 05*</t>
  </si>
  <si>
    <t>Termin obowiązywania oferty</t>
  </si>
  <si>
    <t>Wymagania jakościowe</t>
  </si>
  <si>
    <t>Rodzaj odpadu</t>
  </si>
  <si>
    <t>Sposób gromadzenia odpadu</t>
  </si>
  <si>
    <t>Jednostka</t>
  </si>
  <si>
    <t>Przychód z odsprzedaży</t>
  </si>
  <si>
    <t>Suma kosztów</t>
  </si>
  <si>
    <t>Rentowność 
[%]</t>
  </si>
  <si>
    <t>Koszt zagospodarowania/usługi</t>
  </si>
  <si>
    <t>Marża</t>
  </si>
  <si>
    <t xml:space="preserve">Obrót [PLN/rok] </t>
  </si>
  <si>
    <t>zł/Mg</t>
  </si>
  <si>
    <t>zł/m3</t>
  </si>
  <si>
    <t>zł/kurs</t>
  </si>
  <si>
    <t>zł/ryczałt</t>
  </si>
  <si>
    <t>zł/usługa</t>
  </si>
  <si>
    <t>zł/poj</t>
  </si>
  <si>
    <t>zł/m-c</t>
  </si>
  <si>
    <t>Lp.</t>
  </si>
  <si>
    <t>CAPEX</t>
  </si>
  <si>
    <t>Wytwórca odpadu</t>
  </si>
  <si>
    <t>NIP</t>
  </si>
  <si>
    <t>Sugerowany transport</t>
  </si>
  <si>
    <t>Obecny operator</t>
  </si>
  <si>
    <t>Klient</t>
  </si>
  <si>
    <t>Dodatkowe informacje</t>
  </si>
  <si>
    <t>szt</t>
  </si>
  <si>
    <t>m3</t>
  </si>
  <si>
    <t>Nazwisko handlowca</t>
  </si>
  <si>
    <t>Data utworzenia</t>
  </si>
  <si>
    <t>Data ofertowania</t>
  </si>
  <si>
    <t>Mg</t>
  </si>
  <si>
    <t>kg</t>
  </si>
  <si>
    <t>BRAK</t>
  </si>
  <si>
    <t>Inne niewymienione odpady</t>
  </si>
  <si>
    <t xml:space="preserve">Odpady powstające przy płukaniu i oczyszczaniu kopalin inne niż wymienione w 01 04 07 i 01 04 11 </t>
  </si>
  <si>
    <t>OUZ</t>
  </si>
  <si>
    <t>Odpady z flotacyjnego wzbogacania rud fosforowych (fosforytów, apatytów) zawierające substancje niebezpieczne</t>
  </si>
  <si>
    <t xml:space="preserve">Inne niewymienione odpady </t>
  </si>
  <si>
    <t xml:space="preserve">Płuczki i odpady wiertnicze z odwiertów wody słodkiej </t>
  </si>
  <si>
    <t xml:space="preserve">Płuczki i odpady wiertnicze zawierające ropę naftową </t>
  </si>
  <si>
    <t xml:space="preserve">Płuczki i odpady wiertnicze zawierające substancje niebezpieczne </t>
  </si>
  <si>
    <t xml:space="preserve">Płuczki wiertnicze zawierające baryt i odpady inne niż wymienione w 01 05 05 i 01 05 06 </t>
  </si>
  <si>
    <t>UZ</t>
  </si>
  <si>
    <t xml:space="preserve">Płuczki wiertnicze zawierające chlorki i odpady inne niż wymienione w 01 05 05 i 01 05 06 </t>
  </si>
  <si>
    <t xml:space="preserve">Osady z mycia i czyszczenia </t>
  </si>
  <si>
    <t xml:space="preserve">Odpadowa masa roślinna </t>
  </si>
  <si>
    <t xml:space="preserve">Odpady tworzyw sztucznych (z wyłączeniem opakowań) </t>
  </si>
  <si>
    <t xml:space="preserve">Odpady z gospodarki leśnej </t>
  </si>
  <si>
    <t xml:space="preserve">Odpady agrochemikaliów zawierające substancje niebezpieczne, w tym środki ochrony roślin I i II klasy toksyczności (bardzo toksyczne i toksyczne) </t>
  </si>
  <si>
    <t xml:space="preserve">Odpady agrochemikaliów inne niż wymienione w 02 01 08 </t>
  </si>
  <si>
    <t xml:space="preserve">Odpady metalowe </t>
  </si>
  <si>
    <t>Zwierzęta padłe i ubite z konieczności oraz odpadowa tkanka zwierzęca, wykazujące właściwości niebezpieczne</t>
  </si>
  <si>
    <t xml:space="preserve">Odpady z upraw hydroponicznych </t>
  </si>
  <si>
    <t xml:space="preserve">Odpady z mycia i przygotowywania surowców </t>
  </si>
  <si>
    <t xml:space="preserve">Odpadowa tkanka zwierzęca </t>
  </si>
  <si>
    <t xml:space="preserve">Surowce i produkty nienadające się do spożycia i przetwórstwa </t>
  </si>
  <si>
    <t xml:space="preserve">Osady z zakładowych oczyszczalni ścieków </t>
  </si>
  <si>
    <t xml:space="preserve">Odpadowa tkanka zwierzęca stanowiąca materiał szczególnego i wysokiego ryzyka, w tym odpady z produkcji pasz mięsno-kostnych inne niż wymienione w 02 02 80 </t>
  </si>
  <si>
    <t xml:space="preserve">Odpady z produkcji mączki rybnej inne niż wymienione w 02 02 80 </t>
  </si>
  <si>
    <t xml:space="preserve">Szlamy z mycia, oczyszczania, obierania, odwirowywania i oddzielania surowców </t>
  </si>
  <si>
    <t xml:space="preserve">Odpady konserwantów </t>
  </si>
  <si>
    <t xml:space="preserve">Odpady poekstrakcyjne </t>
  </si>
  <si>
    <t xml:space="preserve">Wytłoki, osady i inne odpady z przetwórstwa produktów roślinnych (z wyłączeniem 02 03 81) </t>
  </si>
  <si>
    <t xml:space="preserve">Odpady z produkcji pasz roślinnych </t>
  </si>
  <si>
    <t xml:space="preserve">Odpady tytoniowe </t>
  </si>
  <si>
    <t>02 04 01</t>
  </si>
  <si>
    <t xml:space="preserve">Osady z oczyszczania i mycia buraków </t>
  </si>
  <si>
    <t xml:space="preserve">Nienormatywny węglan wapnia oraz kreda cukrownicza (wapno defekacyjne) </t>
  </si>
  <si>
    <t xml:space="preserve">Wysłodki </t>
  </si>
  <si>
    <t xml:space="preserve">Surowce i produkty nieprzydatne do spożycia oraz przetwarzania </t>
  </si>
  <si>
    <t xml:space="preserve">Odpadowa serwatka </t>
  </si>
  <si>
    <t xml:space="preserve">Surowce i produkty nieprzydatne do spożycia i przetwórstwa </t>
  </si>
  <si>
    <t xml:space="preserve">Nieprzydatne do wykorzystania tłuszcze spożywcze </t>
  </si>
  <si>
    <t xml:space="preserve">Odpady z mycia, oczyszczania i mechanicznego rozdrabniania surowców </t>
  </si>
  <si>
    <t xml:space="preserve">Odpady z destylacji spirytualiów </t>
  </si>
  <si>
    <t xml:space="preserve">Odpady z procesów chemicznych </t>
  </si>
  <si>
    <t xml:space="preserve">Wytłoki, osady moszczowe i pofermentacyjne, wywary </t>
  </si>
  <si>
    <t xml:space="preserve">Odpady kory i korka </t>
  </si>
  <si>
    <t xml:space="preserve">Trociny, wióry, ścinki, drewno, płyta wiórowa i fornir zawierające substancje niebezpieczne </t>
  </si>
  <si>
    <t xml:space="preserve">Trociny, wióry, ścinki, drewno, płyta wiórowa i fornir inne niż wymienione w 03 01 04 </t>
  </si>
  <si>
    <t xml:space="preserve">Odpady z chemicznej przeróbki drewna zawierające substancje niebezpieczne </t>
  </si>
  <si>
    <t xml:space="preserve">Odpady z chemicznej przeróbki drewna inne niż wymienione w 03 01 80 </t>
  </si>
  <si>
    <t xml:space="preserve">Środki do konserwacji i impregnacji drewna niezawierające związków chlorowcoorganicznych </t>
  </si>
  <si>
    <t xml:space="preserve">Środki do konserwacji i impregnacji drewna zawierające związki chlorowcoorganiczne </t>
  </si>
  <si>
    <t xml:space="preserve">Metaloorganiczne środki do konserwacji i impregnacji drewna </t>
  </si>
  <si>
    <t xml:space="preserve">Nieorganiczne środki do konserwacji i impregnacji drewna </t>
  </si>
  <si>
    <t xml:space="preserve">Inne środki do konserwacji i impregnacji drewna zawierające substancje niebezpieczne </t>
  </si>
  <si>
    <t xml:space="preserve">Odpady z kory i drewna </t>
  </si>
  <si>
    <t xml:space="preserve">Osady i szlamy z produkcji celulozy metodą siarczynową (w tym osady ługu zielonego) </t>
  </si>
  <si>
    <t xml:space="preserve">Szlamy z odbarwiania makulatury </t>
  </si>
  <si>
    <t xml:space="preserve">Mechanicznie wydzielone odrzuty z przeróbki makulatury i tektury </t>
  </si>
  <si>
    <t xml:space="preserve">Odpady z sortowania papieru i tektury przeznaczone do recyklingu </t>
  </si>
  <si>
    <t xml:space="preserve">Odpady szlamów defekosaturacyjnych </t>
  </si>
  <si>
    <t xml:space="preserve">Odpady z włókna, szlamy z włókien, wypełniaczy i powłok pochodzące z mechanicznej separacji </t>
  </si>
  <si>
    <t xml:space="preserve">Osady z zakładowych oczyszczalni ścieków inne niż wymienione w 03 03 10 </t>
  </si>
  <si>
    <t xml:space="preserve">Odpady z odtłuszczania zawierające rozpuszczalniki (bez fazy ciekłej) </t>
  </si>
  <si>
    <t xml:space="preserve">Brzeczka garbująca zawierająca chrom </t>
  </si>
  <si>
    <t xml:space="preserve">Brzeczka garbująca niezawierająca chromu </t>
  </si>
  <si>
    <t xml:space="preserve">Osady zawierające chrom, zwłaszcza z zakładowych oczyszczalni ścieków </t>
  </si>
  <si>
    <t xml:space="preserve">Osady niezawierające chromu, zwłaszcza z zakładowych oczyszczalni ścieków </t>
  </si>
  <si>
    <t xml:space="preserve">Odpady skóry wygarbowanej zawierające chrom (wióry, obcinki, pył ze szlifowania skór) </t>
  </si>
  <si>
    <t xml:space="preserve">Odpady z polerowania i wykańczania </t>
  </si>
  <si>
    <t xml:space="preserve">Odpady materiałów złożonych (np. tkaniny impregnowane, elastomery, plastomery) </t>
  </si>
  <si>
    <t xml:space="preserve">Substancje organiczne z produktów naturalnych (np. tłuszcze, woski) </t>
  </si>
  <si>
    <t xml:space="preserve">Odpady z wykańczania zawierające rozpuszczalniki organiczne </t>
  </si>
  <si>
    <t xml:space="preserve">Odpady z wykańczania inne niż wymienione w 04 02 14 </t>
  </si>
  <si>
    <t xml:space="preserve">Barwniki i pigmenty zawierające substancje niebezpieczne </t>
  </si>
  <si>
    <t xml:space="preserve">Barwniki i pigmenty inne niż wymienione w 04 02 16 </t>
  </si>
  <si>
    <t xml:space="preserve">Odpady z zakładowych oczyszczalni ścieków zawierające substancje niebezpieczne </t>
  </si>
  <si>
    <t xml:space="preserve">Odpady z zakładowych oczyszczalni ścieków inne niż wymienione w 04 02 19 </t>
  </si>
  <si>
    <t xml:space="preserve">Odpady z nieprzetworzonych włókien tekstylnych </t>
  </si>
  <si>
    <t xml:space="preserve">Odpady z przetworzonych włókien tekstylnych </t>
  </si>
  <si>
    <t xml:space="preserve">Odpady z mokrej obróbki wyrobów tekstylnych </t>
  </si>
  <si>
    <t xml:space="preserve">Osady z odsalania </t>
  </si>
  <si>
    <t xml:space="preserve">Osady z dna zbiorników </t>
  </si>
  <si>
    <t xml:space="preserve">Kwaśne szlamy z procesów alkilowania </t>
  </si>
  <si>
    <t xml:space="preserve">Wycieki ropy naftowej </t>
  </si>
  <si>
    <t xml:space="preserve">Zaolejone osady z konserwacji instalacji lub urządzeń </t>
  </si>
  <si>
    <t xml:space="preserve">Kwaśne smoły </t>
  </si>
  <si>
    <t xml:space="preserve">Inne smoły </t>
  </si>
  <si>
    <t xml:space="preserve">Osady z zakładowych oczyszczalni ścieków zawierające substancje niebezpieczne </t>
  </si>
  <si>
    <t xml:space="preserve">Osady z zakładowych oczyszczalni ścieków inne niż wymienione w 05 01 09 </t>
  </si>
  <si>
    <t xml:space="preserve">Odpady z alkalicznego oczyszczania paliw </t>
  </si>
  <si>
    <t xml:space="preserve">Ropa naftowa zawierająca kwasy </t>
  </si>
  <si>
    <t xml:space="preserve">Zużyte naturalne materiały filtracyjne (np. gliny, iły) </t>
  </si>
  <si>
    <t xml:space="preserve">Bitum </t>
  </si>
  <si>
    <t>Osady zawierające rtęć</t>
  </si>
  <si>
    <t xml:space="preserve">Odpady zawierające siarkę </t>
  </si>
  <si>
    <t>Kwas fosforowy i fosforawy</t>
  </si>
  <si>
    <t>Kwas azotowy i azotawy</t>
  </si>
  <si>
    <t xml:space="preserve">Wodorotlenek wapniowy </t>
  </si>
  <si>
    <t xml:space="preserve">Wodorotlenek amonowy </t>
  </si>
  <si>
    <t xml:space="preserve">Wodorotlenek sodowy i potasowy </t>
  </si>
  <si>
    <t xml:space="preserve">Inne wodorotlenki </t>
  </si>
  <si>
    <t xml:space="preserve">Sole i roztwory zawierające metale ciężkie </t>
  </si>
  <si>
    <t xml:space="preserve">Sole i roztwory inne niż wymienione w 06 03 11 i 06 03 13 </t>
  </si>
  <si>
    <t xml:space="preserve">Tlenki metali zawierające metale ciężkie </t>
  </si>
  <si>
    <t xml:space="preserve">Tlenki metali inne niż wymienione w 06 03 15 </t>
  </si>
  <si>
    <t>Odpady zawierające arsen</t>
  </si>
  <si>
    <t xml:space="preserve">Odpady zawierające rtęć </t>
  </si>
  <si>
    <t xml:space="preserve">Odpady zawierające inne metale ciężkie </t>
  </si>
  <si>
    <t xml:space="preserve">Osady z zakładowych oczyszczalni ścieków inne niż wymienione w 06 05 02 </t>
  </si>
  <si>
    <t xml:space="preserve">Odpady zawierające niebezpieczne siarczki </t>
  </si>
  <si>
    <t xml:space="preserve">Odpady zawierające siarczki inne niż wymienione w 06 06 02 </t>
  </si>
  <si>
    <t xml:space="preserve">Węgiel aktywny z produkcji chloru </t>
  </si>
  <si>
    <t xml:space="preserve">Odpady zawierające niebezpieczne silikony </t>
  </si>
  <si>
    <t xml:space="preserve">Żużel fosforowy </t>
  </si>
  <si>
    <t xml:space="preserve">Poreakcyjne odpady związków wapnia zawierające lub zanieczyszczone substancjami niebezpiecznymi </t>
  </si>
  <si>
    <t xml:space="preserve">Poreakcyjne odpady związków wapnia inne niż wymienione w 06 09 03 i 06 09 80 </t>
  </si>
  <si>
    <t xml:space="preserve">Fosfogipsy </t>
  </si>
  <si>
    <t xml:space="preserve">Fosfogipsy wymieszane z żużlami, popiołami paleniskowymi i pyłami z kotłów (z wyłączeniem pyłów z kotłów wymienionych w 10 01 04) </t>
  </si>
  <si>
    <t xml:space="preserve">Odpady zawierające substancje niebezpieczne </t>
  </si>
  <si>
    <t xml:space="preserve">Poreakcyjne odpady związków wapnia z produkcji dwutlenku tytanu </t>
  </si>
  <si>
    <t xml:space="preserve">Odpady z produkcji związków cyrkonu </t>
  </si>
  <si>
    <t xml:space="preserve">Odpady z produkcji związków chromu </t>
  </si>
  <si>
    <t xml:space="preserve">Odpady z produkcji związków kobaltu </t>
  </si>
  <si>
    <t xml:space="preserve">Odpadowy siarczan żelazowy </t>
  </si>
  <si>
    <t>06 11 99</t>
  </si>
  <si>
    <t xml:space="preserve">Nieorganiczne środki ochrony roślin (np. pestycydy), środki do konserwacji drewna oraz inne biocydy </t>
  </si>
  <si>
    <t xml:space="preserve">Zużyty węgiel aktywny (z wyłączeniem 06 07 02) </t>
  </si>
  <si>
    <t xml:space="preserve">Czysta sadza </t>
  </si>
  <si>
    <t xml:space="preserve">Sadza zawierająca lub zanieczyszczona substancjami niebezpiecznymi </t>
  </si>
  <si>
    <t xml:space="preserve">Wody popłuczne i ługi macierzyste </t>
  </si>
  <si>
    <t xml:space="preserve">Rozpuszczalniki chlorowcoorganiczne, roztwory z przemywania i ciecze macierzyste </t>
  </si>
  <si>
    <t xml:space="preserve">Inne rozpuszczalniki organiczne, roztwory z przemywania i ciecze macierzyste </t>
  </si>
  <si>
    <t xml:space="preserve">Pozostałości podestylacyjne i poreakcyjne zawierające związki chlorowców </t>
  </si>
  <si>
    <t xml:space="preserve">Inne pozostałości podestylacyjne i poreakcyjne </t>
  </si>
  <si>
    <t xml:space="preserve">Zużyte sorbenty i osady pofiltracyjne zawierające związki chlorowców </t>
  </si>
  <si>
    <t xml:space="preserve">Inne zużyte sorbenty i osady pofiltracyjne </t>
  </si>
  <si>
    <t xml:space="preserve">Osady z zakładowych oczyszczalni ścieków inne niż wymienione w 07 01 11 </t>
  </si>
  <si>
    <t xml:space="preserve">Wapno pokarbidowe niezawierąjące substancji niebezpiecznych (inne niż wymienione w 07 01 08) </t>
  </si>
  <si>
    <t xml:space="preserve">Osady z zakładowych oczyszczalni ścieków inne niż wymienione w 07 02 11 </t>
  </si>
  <si>
    <t xml:space="preserve">Odpady tworzyw sztucznych </t>
  </si>
  <si>
    <t xml:space="preserve">Odpady z dodatków zawierające substancje niebezpieczne (np. plastyfikatory, stabilizatory) </t>
  </si>
  <si>
    <t xml:space="preserve">Odpady z dodatków inne niż wymienione w 07 02 14 </t>
  </si>
  <si>
    <t xml:space="preserve">Odpady zawierające silikony inne niż wymienione w 07 02 16 </t>
  </si>
  <si>
    <t xml:space="preserve">Odpady z przemysłu gumowego i produkcji gumy </t>
  </si>
  <si>
    <t>OUWZ</t>
  </si>
  <si>
    <t xml:space="preserve">Osady z zakładowych oczyszczalni ścieków inne niż wymienione w 07 03 11 </t>
  </si>
  <si>
    <t xml:space="preserve">Osady z zakładowych oczyszczalni ścieków inne niż wymienione w 07 04 11 </t>
  </si>
  <si>
    <t xml:space="preserve">Odpady stałe zawierające substancje niebezpieczne </t>
  </si>
  <si>
    <t xml:space="preserve">Przeterminowane środki ochrony roślin I i II klasy toksyczności (bardzo toksyczne i toksyczne) </t>
  </si>
  <si>
    <t xml:space="preserve">Przeterminowane środki ochrony roślin inne niż wymienione w 07 04 80 </t>
  </si>
  <si>
    <t xml:space="preserve">Osady z zakładowych oczyszczalni ścieków inne niż wymienione w 07 05 11 </t>
  </si>
  <si>
    <t xml:space="preserve">Odpady stałe inne niż wymienione w 07 05 13 </t>
  </si>
  <si>
    <t xml:space="preserve">Odpady ciekłe zawierające substancje niebezpieczne </t>
  </si>
  <si>
    <t xml:space="preserve">Odpady ciekłe inne niż wymienione w 07 05 80 </t>
  </si>
  <si>
    <t xml:space="preserve">Osady z zakładowych oczyszczalni ścieków inne niż wymienione w 07 06 11 </t>
  </si>
  <si>
    <t xml:space="preserve">Ziemia bieląca z rafinacji oleju </t>
  </si>
  <si>
    <t xml:space="preserve">Zwroty kosmetyków i próbek </t>
  </si>
  <si>
    <t xml:space="preserve">Osady z zakładowych oczyszczalni ścieków inne niż wymienione w 07 07 11 </t>
  </si>
  <si>
    <t xml:space="preserve">Odpady farb i lakierów zawierających rozpuszczalniki organiczne lub inne substancje niebezpieczne </t>
  </si>
  <si>
    <t xml:space="preserve">Odpady farb i lakierów inne niż wymienione w 08 01 11 </t>
  </si>
  <si>
    <t xml:space="preserve">Szlamy z usuwania farb i lakierów zawierające rozpuszczalniki organiczne lub inne substancje niebezpieczne </t>
  </si>
  <si>
    <t xml:space="preserve">Szlamy z usuwania farb i lakierów inne niż wymienione w 08 01 13 </t>
  </si>
  <si>
    <t xml:space="preserve">Szlamy wodne zawierające farby i lakiery zawierające rozpuszczalniki organiczne lub inne substancje niebezpieczne </t>
  </si>
  <si>
    <t xml:space="preserve">Szlamy wodne zawierające farby i lakiery inne niż wymienione w 08 01 15 </t>
  </si>
  <si>
    <t xml:space="preserve">Odpady z usuwania farb i lakierów zawierające rozpuszczalniki organiczne lub inne substancje niebezpieczne </t>
  </si>
  <si>
    <t xml:space="preserve">Odpady z usuwania farb i lakierów inne niż wymienione w 08 01 17 </t>
  </si>
  <si>
    <t xml:space="preserve">Zawiesiny wodne farb lub lakierów zawierające rozpuszczalniki organiczne lub inne substancje niebezpieczne </t>
  </si>
  <si>
    <t xml:space="preserve">Zawiesiny wodne farb lub lakierów inne niż wymienione w 08 01 19 </t>
  </si>
  <si>
    <t xml:space="preserve">Zmywacz farb lub lakierów </t>
  </si>
  <si>
    <t xml:space="preserve">Odpady proszków powlekających </t>
  </si>
  <si>
    <t xml:space="preserve">Szlamy wodne zawierające materiały ceramiczne </t>
  </si>
  <si>
    <t xml:space="preserve">Zawiesiny wodne zawierające materiały ceramiczne </t>
  </si>
  <si>
    <t>08 03 07</t>
  </si>
  <si>
    <t xml:space="preserve">Szlamy wodne zawierające farby drukarskie </t>
  </si>
  <si>
    <t xml:space="preserve">Odpady ciekłe zawierające farby drukarskie </t>
  </si>
  <si>
    <t xml:space="preserve">Odpady farb drukarskich zawierające substancje niebezpieczne </t>
  </si>
  <si>
    <t xml:space="preserve">Odpady farb drukarskich inne niż wymienione w 08 03 12 </t>
  </si>
  <si>
    <t xml:space="preserve">Szlamy farb drukarskich zawierające substancje niebezpieczne </t>
  </si>
  <si>
    <t xml:space="preserve">Szlamy farb drukarskich inne niż wymienione w 08 03 14 </t>
  </si>
  <si>
    <t xml:space="preserve">Zużyte roztwory trawiące </t>
  </si>
  <si>
    <t xml:space="preserve">Odpadowy toner drukarski zawierający substancje niebezpieczne </t>
  </si>
  <si>
    <t xml:space="preserve">Odpadowy toner drukarski inny niż wymieniony w 08 03 17 </t>
  </si>
  <si>
    <t xml:space="preserve">Zdyspergowany olej zawierający substancje niebezpieczne </t>
  </si>
  <si>
    <t xml:space="preserve">Zdyspergowany olej inny niż wymieniony w 08 03 19 </t>
  </si>
  <si>
    <t xml:space="preserve">Odpadowe kleje i szczeliwa zawierające rozpuszczalniki organiczne lub inne substancje niebezpieczne </t>
  </si>
  <si>
    <t xml:space="preserve">Odpadowe kleje i szczeliwa inne niż wymienione w 08 04 09 </t>
  </si>
  <si>
    <t xml:space="preserve">Osady z klejów i szczeliw zawierające rozpuszczalniki organiczne lub inne substancje niebezpieczne </t>
  </si>
  <si>
    <t xml:space="preserve">Osady z klejów i szczeliw inne niż wymienione w 08 04 11 </t>
  </si>
  <si>
    <t xml:space="preserve">Uwodnione szlamy klejów lub szczeliw zawierające rozpuszczalniki organiczne lub inne substancje niebezpieczne </t>
  </si>
  <si>
    <t xml:space="preserve">Uwodnione szlamy klejów lub szczeliw inne niż wymienione w 08 04 13 </t>
  </si>
  <si>
    <t xml:space="preserve">Odpady ciekłe klejów lub szczeliw zawierające rozpuszczalniki organiczne lub inne substancje niebezpieczne </t>
  </si>
  <si>
    <t xml:space="preserve">Odpady ciekłe klejów lub szczeliw inne niż wymienione w 08 04 15 </t>
  </si>
  <si>
    <t xml:space="preserve">Olej żywiczny </t>
  </si>
  <si>
    <t xml:space="preserve">Wodne roztwory wywoływaczy i aktywatorów </t>
  </si>
  <si>
    <t xml:space="preserve">Wodne roztwory wywoływaczy do płyt offsetowych </t>
  </si>
  <si>
    <t xml:space="preserve">Roztwory wywoływaczy opartych na rozpuszczalnikach </t>
  </si>
  <si>
    <t xml:space="preserve">Roztwory utrwalaczy </t>
  </si>
  <si>
    <t xml:space="preserve">Roztwory wybielaczy i kąpieli wybielająco-utrwalających </t>
  </si>
  <si>
    <t xml:space="preserve">Osady z zakładowych oczyszczalni ścieków zawierające srebro </t>
  </si>
  <si>
    <t xml:space="preserve">Błony i papier fotograficzny zawierające srebro lub związki srebra </t>
  </si>
  <si>
    <t xml:space="preserve">Błony i papier fotograficzny niezawierające srebra </t>
  </si>
  <si>
    <t xml:space="preserve">Aparaty fotograficzne jednorazowego użytku bez baterii </t>
  </si>
  <si>
    <t>Z</t>
  </si>
  <si>
    <t xml:space="preserve">Aparaty fotograficzne jednorazowego użytku zawierające baterie wymienione w 16 06 01, 16 06 02 lub 16 06 03 </t>
  </si>
  <si>
    <t xml:space="preserve">Aparaty fotograficzne jednorazowego użytku zawierające baterie inne niż wymienione w 09 01 11 </t>
  </si>
  <si>
    <t xml:space="preserve">Odpady ciekłe z zakładowej regeneracji srebra inne niż wymienione w 09 01 06 </t>
  </si>
  <si>
    <t xml:space="preserve">Przeterminowane odczynniki fotograficzne </t>
  </si>
  <si>
    <t xml:space="preserve">Żużle, popioły paleniskowe i pyły z kotłów (z wyłączeniem pyłów z kotłów wymienionych w 10 01 04) </t>
  </si>
  <si>
    <t xml:space="preserve">Popioły lotne z węgla </t>
  </si>
  <si>
    <t>10 01 03</t>
  </si>
  <si>
    <t xml:space="preserve">Popioły lotne z torfu i drewna niepoddanego obróbce chemicznej </t>
  </si>
  <si>
    <t xml:space="preserve">Popioły lotne i pyły z kotłów z paliw płynnych </t>
  </si>
  <si>
    <t xml:space="preserve">Stałe odpady z wapniowych metod odsiarczania gazów odlotowych </t>
  </si>
  <si>
    <t xml:space="preserve">Produkty z wapniowych metod odsiarczania gazów odlotowych odprowadzane w postaci szlamu </t>
  </si>
  <si>
    <t xml:space="preserve">Kwas siarkowy </t>
  </si>
  <si>
    <t xml:space="preserve">Popioły lotne z emulgowanych węglowodorów stosowanych jako paliwo </t>
  </si>
  <si>
    <t xml:space="preserve">Popioły paleniskowe, żużle i pyły z kotłów ze współspalania zawierające substancje niebezpieczne </t>
  </si>
  <si>
    <t xml:space="preserve">Popioły paleniskowe, żużle i pyły z kotłów ze współspalania inne niż wymienione w 10 01 14 </t>
  </si>
  <si>
    <t xml:space="preserve">Popioły lotne ze współspalania zawierające substancje niebezpieczne </t>
  </si>
  <si>
    <t xml:space="preserve">Popioły lotne ze współspalania inne niż wymienione w 10 01 16 </t>
  </si>
  <si>
    <t xml:space="preserve">Odpady z oczyszczania gazów odlotowych inne niż wymienione w 10 01 05, 10 01 07 i 10 01 18 </t>
  </si>
  <si>
    <t xml:space="preserve">Osady z zakładowych oczyszczalni ścieków inne niż wymienione w 10 01 20 </t>
  </si>
  <si>
    <t xml:space="preserve">Uwodnione szlamy z czyszczenia kotłów zawierające substancje niebezpieczne </t>
  </si>
  <si>
    <t xml:space="preserve">Uwodnione szlamy z czyszczenia kotłów inne niż wymienione w 10 01 22 </t>
  </si>
  <si>
    <t xml:space="preserve">Piaski ze złóż fluidalnych (z wyłączeniem 10 01 82) </t>
  </si>
  <si>
    <t xml:space="preserve">Odpady z przechowywania i przygotowania paliw dla opalanych węglem elektrowni </t>
  </si>
  <si>
    <t xml:space="preserve">Odpady z uzdatniania wody chłodzącej </t>
  </si>
  <si>
    <t xml:space="preserve">Mieszanki popiołowo-żużlowe z mokrego odprowadzania odpadów paleniskowych </t>
  </si>
  <si>
    <t xml:space="preserve">Mikrosfery z popiołów lotnych </t>
  </si>
  <si>
    <t xml:space="preserve">Mieszaniny popiołów lotnych i odpadów stałych z wapniowych metod odsiarczania gazów odlotowych (metody suche i półsuche odsiarczania spalin oraz spalanie w złożu fluidalnym) </t>
  </si>
  <si>
    <t xml:space="preserve">Żużle z procesów wytapiania (wielkopiecowe, stalownicze) </t>
  </si>
  <si>
    <t xml:space="preserve">Nieprzerobione żużle z innych procesów </t>
  </si>
  <si>
    <t xml:space="preserve">Odpady stałe z oczyszczania gazów odlotowych zawierające substancje niebezpieczne </t>
  </si>
  <si>
    <t xml:space="preserve">Odpady stałe z oczyszczania gazów odlotowych inne niż wymienione w 10 02 07 </t>
  </si>
  <si>
    <t xml:space="preserve">Zgorzelina walcownicza </t>
  </si>
  <si>
    <t xml:space="preserve">Odpady z uzdatniania wody chłodzącej zawierające oleje </t>
  </si>
  <si>
    <t xml:space="preserve">Odpady z uzdatniania wody chłodzącej inne niż wymienione w 10 02 11 </t>
  </si>
  <si>
    <t xml:space="preserve">Szlamy i osady pofiltracyjne z oczyszczania gazów odlotowych zawierające substancje niebezpieczne </t>
  </si>
  <si>
    <t xml:space="preserve">Szlamy i osady pofiltracyjne z oczyszczania gazów odlotowych inne niż wymienione w 10 02 13 </t>
  </si>
  <si>
    <t xml:space="preserve">Inne szlamy i osady pofiltracyjne </t>
  </si>
  <si>
    <t xml:space="preserve">Zgary z hutnictwa żelaza </t>
  </si>
  <si>
    <t xml:space="preserve">Odpadowy siarczan żelazawy </t>
  </si>
  <si>
    <t xml:space="preserve">Odpadowe anody </t>
  </si>
  <si>
    <t xml:space="preserve">Żużle z produkcji pierwotnej </t>
  </si>
  <si>
    <t xml:space="preserve">Odpady tlenku glinu </t>
  </si>
  <si>
    <t xml:space="preserve">Słone żużle z produkcji wtórnej </t>
  </si>
  <si>
    <t xml:space="preserve">Czarne kożuchy żużlowe z produkcji wtórnej </t>
  </si>
  <si>
    <t xml:space="preserve">Zgary z wytopu o właściwościach palnych lub wydzielające w zetknięciu z wodą gazy palne w niebezpiecznych ilościach </t>
  </si>
  <si>
    <t xml:space="preserve">Zgary z wytopu inne niż wymienione w 10 03 15 </t>
  </si>
  <si>
    <t xml:space="preserve">Odpady zawierające smołę z produkcji anod </t>
  </si>
  <si>
    <t xml:space="preserve">Odpady zawierające węgiel z produkcji anod inne niż wymienione w 10 03 17 </t>
  </si>
  <si>
    <t xml:space="preserve">Pyły z gazów odlotowych zawierające substancje niebezpieczne </t>
  </si>
  <si>
    <t xml:space="preserve">Pyły z gazów odlotowych inne niż wymienione w 10 03 19 </t>
  </si>
  <si>
    <t xml:space="preserve">Inne cząstki stałe i pyły (łącznie z pyłami z młynów kulowych) zawierające substancje niebezpieczne </t>
  </si>
  <si>
    <t xml:space="preserve">Inne cząstki stałe i pyły (łącznie z pyłami z młynów kulowych) inne niż wymienione w 10 03 21 </t>
  </si>
  <si>
    <t xml:space="preserve">Odpady stałe z oczyszczania gazów odlotowych inne niż wymienione w 10 03 23 </t>
  </si>
  <si>
    <t xml:space="preserve">Szlamy i osady pofiltracyjne z oczyszczania gazów odlotowych inne niż wymienione w 10 03 25 </t>
  </si>
  <si>
    <t xml:space="preserve">Odpady z uzdatniania wody chłodzącej inne niż wymienione w 10 03 27 </t>
  </si>
  <si>
    <t xml:space="preserve">Odpady z przetwarzania słonych żużli i czarnych kożuchów żużlowych zawierające substancje niebezpieczne </t>
  </si>
  <si>
    <t xml:space="preserve">Odpady z przetwarzania słonych żużli i czarnych kożuchów żużlowych inne niż wymienione w 10 03 29 </t>
  </si>
  <si>
    <t xml:space="preserve">Żużle z produkcji pierwotnej i wtórnej </t>
  </si>
  <si>
    <t xml:space="preserve">Zgary z produkcji pierwotnej i wtórnej </t>
  </si>
  <si>
    <t xml:space="preserve">Wapno zawierające związki arsenu (arsenian wapniowy) </t>
  </si>
  <si>
    <t xml:space="preserve">Pyły z gazów odlotowych </t>
  </si>
  <si>
    <t xml:space="preserve">Inne cząstki i pyły </t>
  </si>
  <si>
    <t xml:space="preserve">Odpady stałe z oczyszczania gazów odlotowych </t>
  </si>
  <si>
    <t xml:space="preserve">Szlamy i osady pofiltracyjne z oczyszczania gazów odlotowych </t>
  </si>
  <si>
    <t xml:space="preserve">Odpady z uzdatniania wody chłodzącej inne niż wymienione w 10 04 09 </t>
  </si>
  <si>
    <t xml:space="preserve">Żużle z produkcji pierwotnej i wtórnej (z wyłączeniem 10 05 80) </t>
  </si>
  <si>
    <t xml:space="preserve">Odpady z uzdatniania wody chłodzącej inne niż wymienione w 10 05 08 </t>
  </si>
  <si>
    <t xml:space="preserve">Zgary inne niż wymienione w 10 05 10 </t>
  </si>
  <si>
    <t xml:space="preserve">Żużle granulowane z pieców szybowych oraz żużle z pieców obrotowych </t>
  </si>
  <si>
    <t xml:space="preserve">Odpady z uzdatniania wody chłodzącej inne niż wymienione w 10 06 09 </t>
  </si>
  <si>
    <t xml:space="preserve">Żużle szybowe i granulowane </t>
  </si>
  <si>
    <t xml:space="preserve">Odpady z uzdatniania wody chłodzącej inne niż wymienione w 10 07 07 </t>
  </si>
  <si>
    <t xml:space="preserve">Cząstki i pyły </t>
  </si>
  <si>
    <t xml:space="preserve">Słone żużle z produkcji pierwotnej i wtórnej </t>
  </si>
  <si>
    <t xml:space="preserve">Inne żużle </t>
  </si>
  <si>
    <t xml:space="preserve">Zgary inne niż wymienione w 10 08 10 </t>
  </si>
  <si>
    <t xml:space="preserve">Odpady zawierające węgiel z produkcji anod inne niż wymienione w 10 08 12 </t>
  </si>
  <si>
    <t xml:space="preserve">Pyły z gazów odlotowych inne niż wymienione w 10 08 15 </t>
  </si>
  <si>
    <t xml:space="preserve">Szlamy i osady pofiltracyjne z oczyszczania gazów odlotowych inne niż wymienione w 10 08 17 </t>
  </si>
  <si>
    <t xml:space="preserve">Odpady z uzdatniania wody chłodzącej inne niż wymienione w 10 08 19 </t>
  </si>
  <si>
    <t xml:space="preserve">Żużle odlewnicze </t>
  </si>
  <si>
    <t xml:space="preserve">Rdzenie i formy odlewnicze przed procesem odlewania zawierające substancje niebezpieczne </t>
  </si>
  <si>
    <t xml:space="preserve">Rdzenie i formy odlewnicze przed procesem odlewania inne niż wymienione w 10 09 05 </t>
  </si>
  <si>
    <t xml:space="preserve">Rdzenie i formy odlewnicze po procesie odlewania zawierające substancje niebezpieczne </t>
  </si>
  <si>
    <t xml:space="preserve">Rdzenie i formy odlewnicze po procesie odlewania inne niż wymienione w 10 09 07 </t>
  </si>
  <si>
    <t xml:space="preserve">Pyły z gazów odlotowych inne niż wymienione w 10 09 09 </t>
  </si>
  <si>
    <t xml:space="preserve">Inne cząstki stałe zawierające substancje niebezpieczne </t>
  </si>
  <si>
    <t xml:space="preserve">Inne cząstki stałe niż wymienione w 10 09 11 </t>
  </si>
  <si>
    <t xml:space="preserve">Odpadowe środki wiążące zawierające substancje niebezpieczne </t>
  </si>
  <si>
    <t xml:space="preserve">Odpadowe środki wiążące inne niż wymienione w 10 09 13 </t>
  </si>
  <si>
    <t xml:space="preserve">Odpady środków do wykrywania pęknięć odlewów </t>
  </si>
  <si>
    <t xml:space="preserve">Odpady środków do wykrywania pęknięć odlewów inne niż wymienione w 10 09 15 </t>
  </si>
  <si>
    <t xml:space="preserve">Wybrakowane wyroby żeliwne </t>
  </si>
  <si>
    <t xml:space="preserve">Zgary i żużle odlewnicze </t>
  </si>
  <si>
    <t xml:space="preserve">Rdzenie i formy odlewnicze przed procesem odlewania inne niż wymienione w 10 10 05 </t>
  </si>
  <si>
    <t xml:space="preserve">Rdzenie i formy odlewnicze po procesie odlewania inne niż wymienione w 10 10 07 </t>
  </si>
  <si>
    <t xml:space="preserve">Pyły z gazów odlotowych inne niż wymienione w 10 10 09 </t>
  </si>
  <si>
    <t xml:space="preserve">Inne cząstki stałe niż wymienione w 10 10 11 </t>
  </si>
  <si>
    <t xml:space="preserve">Odpadowe środki wiążące inne niż wymienione w 10 10 13 </t>
  </si>
  <si>
    <t xml:space="preserve">Odpady środków do wykrywania pęknięć odlewów inne niż wymienione w 10 10 15 </t>
  </si>
  <si>
    <t xml:space="preserve">Odpady włókna szklanego i tkanin z włókna szklanego </t>
  </si>
  <si>
    <t xml:space="preserve">Odpady z przygotowania mas wsadowych do obróbki termicznej zawierające substancje niebezpieczne </t>
  </si>
  <si>
    <t xml:space="preserve">Odpady z przygotowania mas wsadowych inne niż wymienione w 10 11 09 </t>
  </si>
  <si>
    <t xml:space="preserve">Szkło odpadowe w postaci małych cząstek i proszku szklanego zawierające metale ciężkie (np. z lamp elektronopromieniowych) </t>
  </si>
  <si>
    <t xml:space="preserve">Szkło odpadowe inne niż wymienione w 10 11 11 </t>
  </si>
  <si>
    <t xml:space="preserve">Szlamy z polerowania i szlifowania szkła zawierające substancje niebezpieczne </t>
  </si>
  <si>
    <t xml:space="preserve">Szlamy z polerowania i szlifowania szkła inne niż wymienione w 10 11 13 </t>
  </si>
  <si>
    <t xml:space="preserve">Odpady stałe z oczyszczania gazów odlotowych inne niż wymienione w 10 11 15 </t>
  </si>
  <si>
    <t xml:space="preserve">Szlamy i osady pofiltracyjne z oczyszczania gazów odlotowych inne niż wymienione w 10 11 17 </t>
  </si>
  <si>
    <t xml:space="preserve">Odpady stałe z zakładowych oczyszczalni ścieków zawierające substancje niebezpieczne </t>
  </si>
  <si>
    <t xml:space="preserve">Odpady stałe z zakładowych oczyszczalni ścieków inne niż wymienione w 10 11 19 </t>
  </si>
  <si>
    <t xml:space="preserve">Szlamy fluorokrzemianowe </t>
  </si>
  <si>
    <t xml:space="preserve">Odpady zawierające azbest </t>
  </si>
  <si>
    <t xml:space="preserve">Szlamy z zakładowych oczyszczalni ścieków </t>
  </si>
  <si>
    <t xml:space="preserve">Odpady z przygotowania mas wsadowych do obróbki termicznej </t>
  </si>
  <si>
    <t xml:space="preserve">Odpady z produkcji wapna palonego i hydratyzowanego </t>
  </si>
  <si>
    <t xml:space="preserve">Cząstki i pyły (z wyłączeniem 10 13 12 i 10 13 13) </t>
  </si>
  <si>
    <t xml:space="preserve">Odpady zawierające azbest z produkcji elementów cementowo-azbestowych </t>
  </si>
  <si>
    <t xml:space="preserve">Odpady z produkcji elementów cementowo-azbestowych inne niż wymienione w 10 13 09 </t>
  </si>
  <si>
    <t xml:space="preserve">Odpady z cementowych materiałów kompozytowych inne niż wymienione w 10 13 09 i 10 13 10 </t>
  </si>
  <si>
    <t xml:space="preserve">Odpady stałe z oczyszczania gazów odlotowych inne niż wymienione w 10 13 12 </t>
  </si>
  <si>
    <t xml:space="preserve">Kwasy trawiące </t>
  </si>
  <si>
    <t xml:space="preserve">Odpady zawierające kwasy inne niż wymienione w 11 01 05 </t>
  </si>
  <si>
    <t xml:space="preserve">Alkalia trawiące </t>
  </si>
  <si>
    <t xml:space="preserve">Osady i szlamy z fosforanowania </t>
  </si>
  <si>
    <t xml:space="preserve">Szlamy i osady pofiltracyjne zawierające substancje niebezpieczne </t>
  </si>
  <si>
    <t xml:space="preserve">Szlamy i osady pofiltracyjne inne niż wymienione w 11 01 09 </t>
  </si>
  <si>
    <t xml:space="preserve">Wody popłuczne zawierające substancje niebezpieczne </t>
  </si>
  <si>
    <t xml:space="preserve">Wody popłuczne inne niż wymienione w 11 01 11 </t>
  </si>
  <si>
    <t xml:space="preserve">Odpady z odtłuszczania zawierające substancje niebezpieczne </t>
  </si>
  <si>
    <t xml:space="preserve">Odpady z odtłuszczania inne niż wymienione w 11 01 13 </t>
  </si>
  <si>
    <t xml:space="preserve">Odcieki i szlamy z systemów membranowych lub systemów wymiany jonowej zawierające substancje niebezpieczne </t>
  </si>
  <si>
    <t xml:space="preserve">Nasycone lub zużyte żywice jonowymienne </t>
  </si>
  <si>
    <t xml:space="preserve">Inne odpady zawierające substancje niebezpieczne </t>
  </si>
  <si>
    <t>Szlamy z hydrometalurgii cynku (w tym jarozyt i getyt)</t>
  </si>
  <si>
    <t xml:space="preserve">Odpady zawierające cyjanki </t>
  </si>
  <si>
    <t xml:space="preserve">Inne odpady </t>
  </si>
  <si>
    <t xml:space="preserve">Odpady z toczenia i piłowania żelaza oraz jego stopów </t>
  </si>
  <si>
    <t>OZ</t>
  </si>
  <si>
    <t xml:space="preserve">Cząstki i pyły żelaza oraz jego stopów </t>
  </si>
  <si>
    <t xml:space="preserve">Odpady z toczenia i piłowania metali nieżelaznych </t>
  </si>
  <si>
    <t xml:space="preserve">Cząstki i pyły metali nieżelaznych </t>
  </si>
  <si>
    <t xml:space="preserve">Odpady z toczenia i wygładzania tworzyw sztucznych </t>
  </si>
  <si>
    <t xml:space="preserve">Odpadowe oleje mineralne z obróbki metali zawierające chlorowce (z wyłączeniem emulsji i roztworów) </t>
  </si>
  <si>
    <t xml:space="preserve">Odpadowe oleje mineralne z obróbki metali niezawierające chlorowców (z wyłączeniem emulsji i roztworów) </t>
  </si>
  <si>
    <t xml:space="preserve">Odpadowe emulsje i roztwory olejowe z obróbki metali zawierające chlorowce </t>
  </si>
  <si>
    <t xml:space="preserve">Odpadowe emulsje i roztwory z obróbki metali niezawierające chlorowców </t>
  </si>
  <si>
    <t xml:space="preserve">Syntetyczne oleje z obróbki metali </t>
  </si>
  <si>
    <t xml:space="preserve">Zużyte woski i tłuszcze </t>
  </si>
  <si>
    <t xml:space="preserve">Odpady spawalnicze </t>
  </si>
  <si>
    <t xml:space="preserve">Szlamy z obróbki metali zawierające substancje niebezpieczne </t>
  </si>
  <si>
    <t xml:space="preserve">Szlamy z obróbki metali inne niż wymienione w 12 01 14 </t>
  </si>
  <si>
    <t xml:space="preserve">Odpady poszlifierskie zawierające substancje niebezpieczne </t>
  </si>
  <si>
    <t xml:space="preserve">Odpady poszlifierskie inne niż wymienione w 12 01 16 </t>
  </si>
  <si>
    <t xml:space="preserve">Szlamy z obróbki metali zawierające oleje (np. szlamy z szlifowania, gładzenia i pokrywania) </t>
  </si>
  <si>
    <t xml:space="preserve">Oleje z obróbki metali łatwo ulegające biodegradacji </t>
  </si>
  <si>
    <t xml:space="preserve">Zużyte materiały szlifierskie zawierające substancje niebezpieczne </t>
  </si>
  <si>
    <t xml:space="preserve">Zużyte materiały szlifierskie inne niż wymienione w 12 01 20 </t>
  </si>
  <si>
    <t xml:space="preserve">Wodne ciecze myjące </t>
  </si>
  <si>
    <t xml:space="preserve">Odpady z odtłuszczania parą </t>
  </si>
  <si>
    <t xml:space="preserve">Oleje hydrauliczne zawierające PCB </t>
  </si>
  <si>
    <t xml:space="preserve">Emulsje olejowe zawierające związki chlorowcoorganiczne </t>
  </si>
  <si>
    <t xml:space="preserve">Emulsje olejowe niezawierające związków chlorowcoorganicznych </t>
  </si>
  <si>
    <t xml:space="preserve">Mineralne oleje hydrauliczne zawierające związki chlorowcoorganiczne </t>
  </si>
  <si>
    <t xml:space="preserve">Mineralne oleje hydrauliczne niezawierające związków chlorowcoorganicznych </t>
  </si>
  <si>
    <t xml:space="preserve">Syntetyczne oleje hydrauliczne </t>
  </si>
  <si>
    <t xml:space="preserve">Oleje hydrauliczne łatwo ulegające biodegradacji </t>
  </si>
  <si>
    <t xml:space="preserve">Inne oleje hydrauliczne </t>
  </si>
  <si>
    <t xml:space="preserve">Mineralne oleje silnikowe, przekładniowe i smarowe zawierające związki chlorowcoorganiczne </t>
  </si>
  <si>
    <t xml:space="preserve">Mineralne oleje silnikowe, przekładniowe i smarowe niezawierające związków chlorowcoorganicznych </t>
  </si>
  <si>
    <t xml:space="preserve">Syntetyczne oleje silnikowe, przekładniowe i smarowe </t>
  </si>
  <si>
    <t xml:space="preserve">Oleje silnikowe, przekładniowe i smarowe łatwo ulegające biodegradacji </t>
  </si>
  <si>
    <t xml:space="preserve">Inne oleje silnikowe, przekładniowe i smarowe </t>
  </si>
  <si>
    <t xml:space="preserve">Oleje i ciecze stosowane jako elektroizolatory i nośniki ciepła zawierające PCB </t>
  </si>
  <si>
    <t xml:space="preserve">Mineralne oleje i ciecze stosowane jako elektroizolatory oraz nośniki ciepła zawierające związki chlorowcoorganiczne inne niż wymienione w 13 03 01 </t>
  </si>
  <si>
    <t xml:space="preserve">Mineralne oleje i ciecze stosowane jako elektroizolatory oraz nośniki ciepła niezawierające związków chlorowcoorganicznych </t>
  </si>
  <si>
    <t xml:space="preserve">Syntetyczne oleje i ciecze stosowane jako elektroizolatory oraz nośniki ciepła inne niż wymienione w 13 03 01 </t>
  </si>
  <si>
    <t xml:space="preserve">Oleje i ciecze stosowane jako elektroizolatory oraz nośniki ciepła łatwo ulegające biodegradacji </t>
  </si>
  <si>
    <t xml:space="preserve">Inne oleje i ciecze stosowane jako elektroizolatory oraz nośniki ciepła </t>
  </si>
  <si>
    <t xml:space="preserve">Oleje zęzowe ze statków żeglugi śródlądowej </t>
  </si>
  <si>
    <t xml:space="preserve">Oleje zęzowe z nabrzeży portowych </t>
  </si>
  <si>
    <t xml:space="preserve">Oleje zęzowe ze statków morskich </t>
  </si>
  <si>
    <t xml:space="preserve">Odpady stałe z piaskowników i z odwadniania olejów w separatorach </t>
  </si>
  <si>
    <t xml:space="preserve">Szlamy z odwadniania olejów w separatorach </t>
  </si>
  <si>
    <t xml:space="preserve">Szlamy z kolektorów </t>
  </si>
  <si>
    <t xml:space="preserve">Olej z odwadniania olejów w separatorach </t>
  </si>
  <si>
    <t xml:space="preserve">Zaolejona woda z odwadniania olejów w separatorach </t>
  </si>
  <si>
    <t xml:space="preserve">Mieszanina odpadów z piaskowników i z odwadniania olejów w separatorach </t>
  </si>
  <si>
    <t xml:space="preserve">Olej opałowy i olej napędowy </t>
  </si>
  <si>
    <t xml:space="preserve">Benzyna </t>
  </si>
  <si>
    <t xml:space="preserve">Inne paliwa (włącznie z mieszaninami) </t>
  </si>
  <si>
    <t xml:space="preserve">Szlamy lub emulsje z odsalania </t>
  </si>
  <si>
    <t xml:space="preserve">Inne emulsje </t>
  </si>
  <si>
    <t xml:space="preserve">Zaolejone odpady stałe ze statków </t>
  </si>
  <si>
    <t xml:space="preserve">Freony, HCFC, HFC </t>
  </si>
  <si>
    <t xml:space="preserve">Inne chlorowcoorganiczne rozpuszczalniki i mieszaniny rozpuszczalników </t>
  </si>
  <si>
    <t xml:space="preserve">Inne rozpuszczalniki i mieszaniny rozpuszczalników </t>
  </si>
  <si>
    <t xml:space="preserve">Szlamy i odpady stałe zawierające rozpuszczalniki chlorowcoorganiczne </t>
  </si>
  <si>
    <t xml:space="preserve">Szlamy i odpady stałe zawierające inne rozpuszczalniki </t>
  </si>
  <si>
    <t xml:space="preserve">Opakowania z papieru i tektury </t>
  </si>
  <si>
    <t xml:space="preserve">Opakowania z tworzyw sztucznych </t>
  </si>
  <si>
    <t xml:space="preserve">Opakowania z drewna </t>
  </si>
  <si>
    <t xml:space="preserve">Opakowania z metali </t>
  </si>
  <si>
    <t xml:space="preserve">Opakowania wielomateriałowe </t>
  </si>
  <si>
    <t xml:space="preserve">Zmieszane odpady opakowaniowe </t>
  </si>
  <si>
    <t xml:space="preserve">Opakowania ze szkła </t>
  </si>
  <si>
    <t xml:space="preserve">Opakowania z tekstyliów </t>
  </si>
  <si>
    <t xml:space="preserve">Opakowania zawierające pozostałości substancji niebezpiecznych lub nimi zanieczyszczone (np. środkami ochrony roślin I i II klasy toksyczności - bardzo toksyczne i toksyczne) </t>
  </si>
  <si>
    <t xml:space="preserve">Opakowania z metali zawierające niebezpieczne porowate elementy wzmocnienia konstrukcyjnego (np. azbest), włącznie z pustymi pojemnikami ciśnieniowymi </t>
  </si>
  <si>
    <t xml:space="preserve">Sorbenty, materiały filtracyjne (w tym filtry olejowe nieujęte w innych grupach), tkaniny do wycierania (np. szmaty, ścierki) i ubrania ochronne zanieczyszczone substancjami niebezpiecznymi (np. PCB) </t>
  </si>
  <si>
    <t xml:space="preserve">Sorbenty, materiały filtracyjne, tkaniny do wycierania (np. szmaty, ścierki) i ubrania ochronne inne niż wymienione w 15 02 02 </t>
  </si>
  <si>
    <t xml:space="preserve">Zużyte opony </t>
  </si>
  <si>
    <t xml:space="preserve">Zużyte lub nienadające się do użytkowania pojazdy </t>
  </si>
  <si>
    <t xml:space="preserve">Zużyte lub nienadające się do użytkowania pojazdy niezawierające cieczy i innych niebezpiecznych elementów </t>
  </si>
  <si>
    <t xml:space="preserve">Filtry olejowe </t>
  </si>
  <si>
    <t xml:space="preserve">Elementy zawierające rtęć </t>
  </si>
  <si>
    <t xml:space="preserve">Elementy zawierające PCB </t>
  </si>
  <si>
    <t xml:space="preserve">Elementy wybuchowe (np. poduszki powietrzne) </t>
  </si>
  <si>
    <t xml:space="preserve">Okładziny hamulcowe zawierające azbest </t>
  </si>
  <si>
    <t xml:space="preserve">Okładziny hamulcowe inne niż wymienione w 16 01 11 </t>
  </si>
  <si>
    <t xml:space="preserve">Płyny hamulcowe </t>
  </si>
  <si>
    <t xml:space="preserve">Płyny zapobiegające zamarzaniu zawierające niebezpieczne substancje </t>
  </si>
  <si>
    <t xml:space="preserve">Płyny zapobiegające zamarzaniu inne niż wymienione w 16 01 14 </t>
  </si>
  <si>
    <t xml:space="preserve">Zbiorniki na gaz skroplony </t>
  </si>
  <si>
    <t xml:space="preserve">Metale żelazne </t>
  </si>
  <si>
    <t xml:space="preserve">Metale nieżelazne </t>
  </si>
  <si>
    <t xml:space="preserve">Tworzywa sztuczne </t>
  </si>
  <si>
    <t xml:space="preserve">Szkło </t>
  </si>
  <si>
    <t xml:space="preserve">Niebezpieczne elementy inne niż wymienione w 16 01 07 do 16 01 11, 16 01 13 i 16 01 14 </t>
  </si>
  <si>
    <t xml:space="preserve">Inne niewymienione elementy </t>
  </si>
  <si>
    <t xml:space="preserve">Transformatory i kondensatory zawierające PCB </t>
  </si>
  <si>
    <t xml:space="preserve">Zużyte urządzenia zawierające PCB albo nimi zanieczyszczone inne niż wymienione w 16 02 09 </t>
  </si>
  <si>
    <t xml:space="preserve">Zużyte urządzenia zawierające freony, HCFC, HFC </t>
  </si>
  <si>
    <t xml:space="preserve">Zużyte urządzenia zawierające wolny azbest </t>
  </si>
  <si>
    <t xml:space="preserve">Zużyte urządzenia zawierające niebezpieczne elementy (1) inne niż wymienione w 16 02 09 do 16 02 12 </t>
  </si>
  <si>
    <t>WZ</t>
  </si>
  <si>
    <t xml:space="preserve">Zużyte urządzenia inne niż wymienione w 16 02 09 do 16 02 13 </t>
  </si>
  <si>
    <t xml:space="preserve">Niebezpieczne elementy lub części składowe usunięte z zużytych urządzeń </t>
  </si>
  <si>
    <t xml:space="preserve">Elementy usunięte z zużytych urządzeń inne niż wymienione w 16 02 15 </t>
  </si>
  <si>
    <t xml:space="preserve">Nieorganiczne odpady zawierające substancje niebezpieczne </t>
  </si>
  <si>
    <t xml:space="preserve">Nieorganiczne odpady inne niż wymienione w 16 03 03, 16 03 80 </t>
  </si>
  <si>
    <t xml:space="preserve">Organiczne odpady zawierające substancje niebezpieczne </t>
  </si>
  <si>
    <t xml:space="preserve">Organiczne odpady inne niż wymienione w 16 03 05, 16 03 80 </t>
  </si>
  <si>
    <t xml:space="preserve">Produkty spożywcze przeterminowane lub nieprzydatne do spożycia </t>
  </si>
  <si>
    <t xml:space="preserve">Gazy w pojemnikach (w tym halony) zawierające substancje niebezpieczne </t>
  </si>
  <si>
    <t xml:space="preserve">Gazy w pojemnikach inne niż wymienione w 16 05 04 </t>
  </si>
  <si>
    <t xml:space="preserve">Chemikalia laboratoryjne i analityczne (np. odczynniki chemiczne) zawierające substancje niebezpieczne, w tym mieszaniny chemikaliów laboratoryjnych i analitycznych </t>
  </si>
  <si>
    <t>UWZ</t>
  </si>
  <si>
    <t xml:space="preserve">Zużyte nieorganiczne chemikalia zawierające substancje niebezpieczne (np. przeterminowane odczynniki chemiczne) </t>
  </si>
  <si>
    <t xml:space="preserve">Zużyte organiczne chemikalia zawierające substancje niebezpieczne (np. przeterminowane odczynniki chemiczne) </t>
  </si>
  <si>
    <t xml:space="preserve">Zużyte chemikalia inne niż wymienione w 16 05 06, 16 05 07 lub 16 05 08 </t>
  </si>
  <si>
    <t xml:space="preserve">Baterie i akumulatory ołowiowe </t>
  </si>
  <si>
    <t xml:space="preserve">Baterie i akumulatory niklowo-kadmowe </t>
  </si>
  <si>
    <t xml:space="preserve">Baterie zawierające rtęć </t>
  </si>
  <si>
    <t xml:space="preserve">Baterie alkaliczne (z wyłączeniem 16 06 03) </t>
  </si>
  <si>
    <t xml:space="preserve">Inne baterie i akumulatory </t>
  </si>
  <si>
    <t xml:space="preserve">Selektywnie gromadzony elektrolit z baterii i akumulatorów </t>
  </si>
  <si>
    <t xml:space="preserve">Odpady zawierające ropę naftową lub jej produkty </t>
  </si>
  <si>
    <t xml:space="preserve">Odpady zawierające inne substancje niebezpieczne </t>
  </si>
  <si>
    <t xml:space="preserve">Zużyte katalizatory zawierające złoto, srebro, ren, rod, pallad, iryd lub platynę (z wyłączeniem 16 08 07) </t>
  </si>
  <si>
    <t xml:space="preserve">Zużyte katalizatory zawierające niebezpieczne metale przejściowe (2) lub ich niebezpieczne związki </t>
  </si>
  <si>
    <t xml:space="preserve">Zużyte katalizatory zawierające metale przejściowe lub ich związki inne niż wymienione w 16 08 02 </t>
  </si>
  <si>
    <t xml:space="preserve">Zużyte katalizatory stosowane do katalitycznego krakingu w procesie fluidyzacyjnym (z wyłączeniem 16 08 07) </t>
  </si>
  <si>
    <t xml:space="preserve">Zużyte katalizatory zawierające kwas fosforowy </t>
  </si>
  <si>
    <t xml:space="preserve">Zużyte ciecze stosowane jako katalizatory </t>
  </si>
  <si>
    <t xml:space="preserve">Zużyte katalizatory zanieczyszczone substancjami niebezpiecznymi </t>
  </si>
  <si>
    <t>Inne niewymienione substancje utleniające</t>
  </si>
  <si>
    <t xml:space="preserve">Uwodnione odpady ciekłe zawierające substancje niebezpieczne </t>
  </si>
  <si>
    <t xml:space="preserve">Uwodnione odpady ciekłe inne niż wymienione w 16 10 01 </t>
  </si>
  <si>
    <t xml:space="preserve">Stężone uwodnione odpady ciekłe (np. koncentraty) zawierające substancje niebezpieczne </t>
  </si>
  <si>
    <t xml:space="preserve">Stężone uwodnione odpady ciekłe (np. koncentraty) inne niż wymienione w 16 10 03 </t>
  </si>
  <si>
    <t xml:space="preserve">Okładziny piecowe i materiały ogniotrwałe z procesów niemetalurgicznych inne niż wymienione w 16 11 05 </t>
  </si>
  <si>
    <t xml:space="preserve">Magnetyczne i optyczne nośniki informacji </t>
  </si>
  <si>
    <t xml:space="preserve">Odpady wykazujące właściwości niebezpieczne </t>
  </si>
  <si>
    <t xml:space="preserve">Odpady inne niż wymienione w 16 81 01 </t>
  </si>
  <si>
    <t xml:space="preserve">Odpady inne niż wymienione w 16 82 01 </t>
  </si>
  <si>
    <t xml:space="preserve">Odpady betonu oraz gruz betonowy z rozbiórek i remontów </t>
  </si>
  <si>
    <t xml:space="preserve">Gruz ceglany </t>
  </si>
  <si>
    <t xml:space="preserve">Odpady innych materiałów ceramicznych i elementów wyposażenia </t>
  </si>
  <si>
    <t xml:space="preserve">Zmieszane lub wysegregowane odpady z betonu, gruzu ceglanego, odpadowych materiałów ceramicznych i elementów wyposażenia zawierające substancje niebezpieczne </t>
  </si>
  <si>
    <t xml:space="preserve">Zmieszane odpady z betonu, gruzu ceglanego, odpadowych materiałów ceramicznych i elementów wyposażenia inne niż wymienione w 17 01 06 </t>
  </si>
  <si>
    <t xml:space="preserve">Usunięte tynki, tapety, okleiny itp. </t>
  </si>
  <si>
    <t xml:space="preserve">Odpady z remontów i przebudowy dróg </t>
  </si>
  <si>
    <t xml:space="preserve">Drewno </t>
  </si>
  <si>
    <t xml:space="preserve">Odpady drewna, szkła i tworzyw sztucznych zawierające lub zanieczyszczone substancjami niebezpiecznymi (podkłady kolejowe) </t>
  </si>
  <si>
    <t xml:space="preserve">Asfalt zawierający smołę </t>
  </si>
  <si>
    <t xml:space="preserve">Asfalt inny niż wymieniony w 17 03 01 </t>
  </si>
  <si>
    <t xml:space="preserve">Smoła i produkty smołowe </t>
  </si>
  <si>
    <t xml:space="preserve">Odpadowa papa </t>
  </si>
  <si>
    <t xml:space="preserve">Miedź, brąz, mosiądz </t>
  </si>
  <si>
    <t xml:space="preserve">Aluminium </t>
  </si>
  <si>
    <t xml:space="preserve">Ołów </t>
  </si>
  <si>
    <t xml:space="preserve">Cynk </t>
  </si>
  <si>
    <t xml:space="preserve">Żelazo i stal </t>
  </si>
  <si>
    <t xml:space="preserve">Cyna </t>
  </si>
  <si>
    <t xml:space="preserve">Mieszaniny metali </t>
  </si>
  <si>
    <t xml:space="preserve">Odpady metali zanieczyszczone substancjami niebezpiecznymi </t>
  </si>
  <si>
    <t xml:space="preserve">Kable zawierające ropę naftową, smołę i inne substancje niebezpieczne </t>
  </si>
  <si>
    <t xml:space="preserve">Kable inne niż wymienione w 17 04 10 </t>
  </si>
  <si>
    <t xml:space="preserve">Gleba i ziemia, w tym kamienie, zawierające substancje niebezpieczne (np. PCB) </t>
  </si>
  <si>
    <t xml:space="preserve">Gleba i ziemia, w tym kamienie, inne niż wymienione w 17 05 03 </t>
  </si>
  <si>
    <t xml:space="preserve">Urobek z pogłębiania zawierający lub zanieczyszczony substancjami niebezpiecznymi </t>
  </si>
  <si>
    <t xml:space="preserve">Urobek z pogłębiania inny niż wymieniony w 17 05 05 </t>
  </si>
  <si>
    <t xml:space="preserve">Tłuczeń torowy (kruszywo) zawierający substancje niebezpieczne </t>
  </si>
  <si>
    <t xml:space="preserve">Tłuczeń torowy (kruszywo) inny niż wymieniony w 17 05 07 </t>
  </si>
  <si>
    <t xml:space="preserve">Materiały izolacyjne zawierające azbest </t>
  </si>
  <si>
    <t xml:space="preserve">Inne materiały izolacyjne zawierające substancje niebezpieczne </t>
  </si>
  <si>
    <t xml:space="preserve">Materiały izolacyjne inne niż wymienione w 17 06 01 i 17 06 03 </t>
  </si>
  <si>
    <t xml:space="preserve">Materiały konstrukcyjne zawierające azbest </t>
  </si>
  <si>
    <t xml:space="preserve">Materiały konstrukcyjne zawierające gips zanieczyszczone substancjami niebezpiecznymi </t>
  </si>
  <si>
    <t xml:space="preserve">Materiały konstrukcyjne zawierające gips inne niż wymienione w 17 08 01 </t>
  </si>
  <si>
    <t xml:space="preserve">Odpady z budowy, remontów i demontażu zawierające rtęć </t>
  </si>
  <si>
    <t xml:space="preserve">Odpady z budowy, remontów i demontażu zawierające PCB (np. substancje i przedmioty zawierające PCB: szczeliwa, wykładziny podłogowe zawierające żywice, szczelne zespoły okienne, kondensatory) </t>
  </si>
  <si>
    <t xml:space="preserve">Inne odpady z budowy, remontów i demontażu (w tym odpady zmieszane) zawierające substancje niebezpieczne </t>
  </si>
  <si>
    <t xml:space="preserve">Zmieszane odpady z budowy, remontów i demontażu inne niż wymienione w 17 09 01, 17 09 02 i 17 09 03 </t>
  </si>
  <si>
    <t xml:space="preserve">Narzędzia chirurgiczne i zabiegowe oraz ich resztki (z wyłączeniem 18 01 03) </t>
  </si>
  <si>
    <t xml:space="preserve">Części ciała i organy oraz pojemniki na krew i konserwanty służące do jej przechowywania (z wyłączeniem 18 01 03) </t>
  </si>
  <si>
    <t xml:space="preserve">Inne odpady, które zawierają żywe drobnoustroje chorobotwórcze lub ich toksyny oraz inne formy zdolne do przeniesienia materiału genetycznego, o których wiadomo lub co do których istnieją wiarygodne podstawy do sądzenia, że wywołują choroby u ludzi i zwierząt (np. zainfekowane pieluchomajtki, podpaski, podkłady), z wyłączeniem 18 01 80 i 18 01 82 </t>
  </si>
  <si>
    <t xml:space="preserve">Inne odpady niż wymienione w 18 01 03 </t>
  </si>
  <si>
    <t xml:space="preserve">Chemikalia, w tym odczynniki chemiczne, zawierające substancje niebezpieczne </t>
  </si>
  <si>
    <t xml:space="preserve">Chemikalia, w tym odczynniki chemiczne, inne niż wymienione w 18 01 06 </t>
  </si>
  <si>
    <t xml:space="preserve">Leki cytotoksyczne i cytostatyczne </t>
  </si>
  <si>
    <t xml:space="preserve">Leki inne niż wymienione w 18 01 08 </t>
  </si>
  <si>
    <t xml:space="preserve">Odpady amalgamatu dentystycznego </t>
  </si>
  <si>
    <t xml:space="preserve">Zużyte kąpiele lecznicze aktywne biologicznie o właściwościach zakaźnych </t>
  </si>
  <si>
    <t xml:space="preserve">Zużyte kąpiele lecznicze aktywne biologicznie inne niż wymienione w 18 01 80 </t>
  </si>
  <si>
    <t xml:space="preserve">Pozostałości z żywienia pacjentów oddziałów zakaźnych </t>
  </si>
  <si>
    <t xml:space="preserve">Narzędzia chirurgiczne i zabiegowe oraz ich resztki (z wyłączeniem 18 02 02) </t>
  </si>
  <si>
    <t xml:space="preserve">Inne odpady, które zawierają żywe drobnoustroje chorobotwórcze lub ich toksyny oraz inne formy zdolne do przeniesienia materiału genetycznego, o których wiadomo lub co do których istnieją wiarygodne podstawy do sądzenia, że wywołują choroby u ludzi i zwierząt </t>
  </si>
  <si>
    <t xml:space="preserve">Inne odpady niż wymienione w 18 02 02 </t>
  </si>
  <si>
    <t xml:space="preserve">Chemikalia, w tym odczynniki chemiczne, inne niż wymienione w 18 02 05 </t>
  </si>
  <si>
    <t xml:space="preserve">Leki inne niż wymienione w 18 02 07 </t>
  </si>
  <si>
    <t xml:space="preserve">Złom żelazny usunięty z popiołów paleniskowych </t>
  </si>
  <si>
    <t xml:space="preserve">Osady filtracyjne (np. placek filtracyjny) z oczyszczania gazów odlotowych </t>
  </si>
  <si>
    <t xml:space="preserve">Szlamy i inne odpady uwodnione z oczyszczania gazów odlotowych </t>
  </si>
  <si>
    <t xml:space="preserve">Zużyty węgiel aktywny z oczyszczania gazów odlotowych </t>
  </si>
  <si>
    <t xml:space="preserve">Żużle i popioły paleniskowe zawierające substancje niebezpieczne </t>
  </si>
  <si>
    <t xml:space="preserve">Żużle i popioły paleniskowe inne niż wymienione w 19 01 11 </t>
  </si>
  <si>
    <t xml:space="preserve">Popioły lotne zawierające substancje niebezpieczne </t>
  </si>
  <si>
    <t xml:space="preserve">Popioły lotne inne niż wymienione w 19 01 13 </t>
  </si>
  <si>
    <t xml:space="preserve">Pyły z kotłów zawierające substancje niebezpieczne </t>
  </si>
  <si>
    <t xml:space="preserve">Pyły z kotłów inne niż wymienione w 19 01 15 </t>
  </si>
  <si>
    <t xml:space="preserve">Odpady z pirolizy odpadów zawierające substancje niebezpieczne </t>
  </si>
  <si>
    <t xml:space="preserve">Odpady z pirolizy odpadów inne niż wymienione w 19 01 17 </t>
  </si>
  <si>
    <t xml:space="preserve">Piaski ze złóż fluidalnych </t>
  </si>
  <si>
    <t xml:space="preserve">Wstępnie przemieszane odpady składające się wyłącznie z odpadów innych niż niebezpieczne </t>
  </si>
  <si>
    <t xml:space="preserve">Wstępnie przemieszane odpady składające się z co najmniej jednego rodzaju odpadów niebezpiecznych </t>
  </si>
  <si>
    <t xml:space="preserve">Szlamy z fizykochemicznej przeróbki odpadów zawierające substancje niebezpieczne </t>
  </si>
  <si>
    <t xml:space="preserve">Szlamy z fizykochemicznej przeróbki odpadów inne niż wymienione w 19 02 05 </t>
  </si>
  <si>
    <t xml:space="preserve">Oleje i koncentraty z separacji </t>
  </si>
  <si>
    <t xml:space="preserve">Ciekłe odpady palne zawierające substancje niebezpieczne </t>
  </si>
  <si>
    <t xml:space="preserve">Stałe odpady palne zawierające substancje niebezpieczne </t>
  </si>
  <si>
    <t xml:space="preserve">Odpady palne inne niż wymienione w 19 02 08 lub 19 02 09 </t>
  </si>
  <si>
    <t xml:space="preserve">Odpady niebezpieczne częściowo (4) stabilizowane </t>
  </si>
  <si>
    <t xml:space="preserve">Odpady stabilizowane inne niż wymienione w 19 03 04 </t>
  </si>
  <si>
    <t xml:space="preserve">Odpady niebezpieczne zestalone </t>
  </si>
  <si>
    <t xml:space="preserve">Odpady zestalone inne niż wymienione w 19 03 06 </t>
  </si>
  <si>
    <t xml:space="preserve">Zeszklone odpady </t>
  </si>
  <si>
    <t xml:space="preserve">Popioły lotne i inne odpady z oczyszczania gazów odlotowych </t>
  </si>
  <si>
    <t xml:space="preserve">Niezeszklona faza stała </t>
  </si>
  <si>
    <t xml:space="preserve">Ciekłe odpady z procesów zeszkliwiania </t>
  </si>
  <si>
    <t xml:space="preserve">Nieprzekompostowane frakcje odpadów komunalnych i podobnych </t>
  </si>
  <si>
    <t xml:space="preserve">Nieprzekompostowane frakcje odpadów pochodzenia zwierzęcego i roślinnego </t>
  </si>
  <si>
    <t xml:space="preserve">Kompost nieodpowiadający wymaganiom (nienadający się do wykorzystania) </t>
  </si>
  <si>
    <t xml:space="preserve">Ciecze z beztlenowego rozkładu odpadów komunalnych </t>
  </si>
  <si>
    <t xml:space="preserve">Przefermentowane odpady z beztlenowego rozkładu odpadów komunalnych </t>
  </si>
  <si>
    <t xml:space="preserve">Ciecze z beztlenowego rozkładu odpadów zwierzęcych i roślinnych </t>
  </si>
  <si>
    <t xml:space="preserve">Przefermentowane odpady z beztlenowego rozkładu odpadów zwierzęcych i roślinnych </t>
  </si>
  <si>
    <t xml:space="preserve">Skratki </t>
  </si>
  <si>
    <t xml:space="preserve">Zawartość piaskowników </t>
  </si>
  <si>
    <t xml:space="preserve">Ustabilizowane komunalne osady ściekowe </t>
  </si>
  <si>
    <t>OU</t>
  </si>
  <si>
    <t xml:space="preserve">Roztwory i szlamy z regeneracji wymienników jonitowych </t>
  </si>
  <si>
    <t xml:space="preserve">Odpady z systemów membranowych zawierające metale ciężkie </t>
  </si>
  <si>
    <t xml:space="preserve">Tłuszcze i mieszaniny olejów z separacji olej/woda zawierające wyłącznie oleje jadalne i tłuszcze </t>
  </si>
  <si>
    <t xml:space="preserve">Tłuszcze i mieszaniny olejów z separacji olej/woda inne niż wymienione w 19 08 09 </t>
  </si>
  <si>
    <t xml:space="preserve">Szlamy zawierające substancje niebezpieczne z biologicznego oczyszczania ścieków przemysłowych </t>
  </si>
  <si>
    <t xml:space="preserve">Szlamy z biologicznego oczyszczania ścieków przemysłowych inne niż wymienione w 19 08 11 </t>
  </si>
  <si>
    <t xml:space="preserve">Szlamy zawierające substancje niebezpieczne z innego niż biologiczne oczyszczania ścieków przemysłowych </t>
  </si>
  <si>
    <t xml:space="preserve">Szlamy z innego niż biologiczne oczyszczania ścieków przemysłowych inne niż wymienione w 19 08 13 </t>
  </si>
  <si>
    <t xml:space="preserve">Odpady stałe ze wstępnej filtracji i skratki </t>
  </si>
  <si>
    <t xml:space="preserve">Osady z klarowania wody </t>
  </si>
  <si>
    <t xml:space="preserve">Osady z dekarbonizacji wody </t>
  </si>
  <si>
    <t xml:space="preserve">Zużyty węgiel aktywny </t>
  </si>
  <si>
    <t xml:space="preserve">Odpady żelaza i stali </t>
  </si>
  <si>
    <t xml:space="preserve">Odpady metali nieżelaznych </t>
  </si>
  <si>
    <t xml:space="preserve">Lekka frakcja i pyły zawierające substancje niebezpieczne </t>
  </si>
  <si>
    <t xml:space="preserve">Lekka frakcja i pyły inne niż wymienione w 19 10 03 </t>
  </si>
  <si>
    <t xml:space="preserve">Inne frakcje zawierające substancje niebezpieczne </t>
  </si>
  <si>
    <t xml:space="preserve">Inne frakcje niż wymienione w 19 10 05 </t>
  </si>
  <si>
    <t xml:space="preserve">Zużyte filtry iłowe </t>
  </si>
  <si>
    <t xml:space="preserve">Uwodnione odpady ciekłe </t>
  </si>
  <si>
    <t xml:space="preserve">Alkaliczne odpady z oczyszczania paliw </t>
  </si>
  <si>
    <t xml:space="preserve">Osady z zakładowych oczyszczalni ścieków inne niż wymienione w 19 11 05 </t>
  </si>
  <si>
    <t xml:space="preserve">Odpady z oczyszczania gazów odlotowych </t>
  </si>
  <si>
    <t xml:space="preserve">Papier i tektura </t>
  </si>
  <si>
    <t xml:space="preserve">Tworzywa sztuczne i guma </t>
  </si>
  <si>
    <t xml:space="preserve">Drewno zawierające substancje niebezpieczne </t>
  </si>
  <si>
    <t xml:space="preserve">Drewno inne niż wymienione w 19 12 06 </t>
  </si>
  <si>
    <t xml:space="preserve">Tekstylia </t>
  </si>
  <si>
    <t xml:space="preserve">Minerały (np. piasek, kamienie) </t>
  </si>
  <si>
    <t xml:space="preserve">Odpady palne (paliwo alternatywne) </t>
  </si>
  <si>
    <t xml:space="preserve">Inne odpady (w tym zmieszane substancje i przedmioty) z mechanicznej obróbki odpadów zawierające substancje niebezpieczne </t>
  </si>
  <si>
    <t xml:space="preserve">Inne odpady (w tym zmieszane substancje i przedmioty) z mechanicznej obróbki odpadów inne niż wymienione w 19 12 11 </t>
  </si>
  <si>
    <t>OUW</t>
  </si>
  <si>
    <t xml:space="preserve">Odpady stałe z oczyszczania gleby i ziemi zawierające substancje niebezpieczne </t>
  </si>
  <si>
    <t xml:space="preserve">Odpady stałe z oczyszczania gleby i ziemi inne niż wymienione w 19 13 01 </t>
  </si>
  <si>
    <t xml:space="preserve">Szlamy z oczyszczania gleby i ziemi zawierające substancje niebezpieczne </t>
  </si>
  <si>
    <t xml:space="preserve">Szlamy z oczyszczania gleby i ziemi inne niż wymienione w 19 13 03 </t>
  </si>
  <si>
    <t xml:space="preserve">Szlamy z oczyszczania wód podziemnych zawierające substancje niebezpieczne </t>
  </si>
  <si>
    <t xml:space="preserve">Szlamy z oczyszczania wód podziemnych inne niż wymienione w 19 13 05 </t>
  </si>
  <si>
    <t xml:space="preserve">Odpady ciekłe i stężone uwodnione odpady ciekłe (np. koncentraty) z oczyszczania wód podziemnych zawierające substancje niebezpieczne </t>
  </si>
  <si>
    <t xml:space="preserve">Odpady ciekłe i stężone uwodnione odpady ciekłe (np. koncentraty) z oczyszczania wód podziemnych inne niż wymienione w 19 13 07 </t>
  </si>
  <si>
    <t xml:space="preserve">Odpady po autoklawowaniu odpadów medycznych i weterynaryjnych </t>
  </si>
  <si>
    <t xml:space="preserve">Odpady kuchenne ulegające biodegradacji </t>
  </si>
  <si>
    <t xml:space="preserve">Odzież </t>
  </si>
  <si>
    <t xml:space="preserve">Rozpuszczalniki </t>
  </si>
  <si>
    <t xml:space="preserve">Kwasy </t>
  </si>
  <si>
    <t xml:space="preserve">Alkalia </t>
  </si>
  <si>
    <t xml:space="preserve">Odczynniki fotograficzne </t>
  </si>
  <si>
    <t xml:space="preserve">Środki ochrony roślin I i II klasy toksyczności (bardzo toksyczne i toksyczne np. herbicydy, insektycydy) </t>
  </si>
  <si>
    <t xml:space="preserve">Lampy fluorescencyjne i inne odpady zawierające rtęć </t>
  </si>
  <si>
    <t xml:space="preserve">Urządzenia zawierające freony </t>
  </si>
  <si>
    <t xml:space="preserve">Oleje i tłuszcze jadalne </t>
  </si>
  <si>
    <t xml:space="preserve">Oleje i tłuszcze inne niż wymienione w 20 01 25 </t>
  </si>
  <si>
    <t xml:space="preserve">Farby, tusze, farby drukarskie, kleje, lepiszcze i żywice zawierające substancje niebezpieczne </t>
  </si>
  <si>
    <t xml:space="preserve">Farby, tusze, farby drukarskie, kleje, lepiszcze i żywice inne niż wymienione w 20 01 27 </t>
  </si>
  <si>
    <t xml:space="preserve">Detergenty zawierające substancje niebezpieczne </t>
  </si>
  <si>
    <t xml:space="preserve">Detergenty inne niż wymienione w 20 01 29 </t>
  </si>
  <si>
    <t xml:space="preserve">Leki inne niż wymienione w 20 01 31 </t>
  </si>
  <si>
    <t xml:space="preserve">Baterie i akumulatory łącznie z bateriami i akumulatorami wymienionymi w 16 06 01, 16 06 02 lub 16 06 03 oraz niesortowane baterie i akumulatory zawierające te baterie </t>
  </si>
  <si>
    <t xml:space="preserve">Baterie i akumulatory inne niż wymienione w 20 01 33 </t>
  </si>
  <si>
    <t xml:space="preserve">Zużyte urządzenia elektryczne i elektroniczne inne niż wymienione w 20 01 21 i 20 01 23 zawierające niebezpieczne składniki (1) </t>
  </si>
  <si>
    <t xml:space="preserve">Zużyte urządzenia elektryczne i elektroniczne inne niż wymienione w 20 01 21, 20 01 23 i 20 01 35 </t>
  </si>
  <si>
    <t xml:space="preserve">Drewno inne niż wymienione w 20 01 37 </t>
  </si>
  <si>
    <t xml:space="preserve">Metale </t>
  </si>
  <si>
    <t xml:space="preserve">Odpady zmiotek wentylacyjnych </t>
  </si>
  <si>
    <t xml:space="preserve">Środki ochrony roślin inne niż wymienione w 20 01 19 </t>
  </si>
  <si>
    <t xml:space="preserve">Inne niewymienione frakcje zbierane w sposób selektywny </t>
  </si>
  <si>
    <t xml:space="preserve">Odpady ulegające biodegradacji </t>
  </si>
  <si>
    <t xml:space="preserve">Gleba i ziemia, w tym kamienie </t>
  </si>
  <si>
    <t xml:space="preserve">Inne odpady nieulegające biodegradacji </t>
  </si>
  <si>
    <t xml:space="preserve">Niesegregowane (zmieszane) odpady komunalne </t>
  </si>
  <si>
    <t xml:space="preserve">Odpady z targowisk </t>
  </si>
  <si>
    <t xml:space="preserve">Odpady z czyszczenia ulic i placów </t>
  </si>
  <si>
    <t xml:space="preserve">Szlamy ze zbiorników bezodpływowych służących do gromadzenia nieczystości </t>
  </si>
  <si>
    <t xml:space="preserve">Odpady ze studzienek kanalizacyjnych </t>
  </si>
  <si>
    <t xml:space="preserve">Odpady wielkogabarytowe </t>
  </si>
  <si>
    <t xml:space="preserve">Odpady komunalne niewymienione w innych podgrupach </t>
  </si>
  <si>
    <t>SITA_Starol</t>
  </si>
  <si>
    <t>O</t>
  </si>
  <si>
    <t>odzysk</t>
  </si>
  <si>
    <t>U</t>
  </si>
  <si>
    <t>unieszkodliwianie</t>
  </si>
  <si>
    <t>zbieranie</t>
  </si>
  <si>
    <t>W</t>
  </si>
  <si>
    <t>wytwarzanie</t>
  </si>
  <si>
    <t>Wyceniający (inicjały)</t>
  </si>
  <si>
    <t>Zdjęcia</t>
  </si>
  <si>
    <t>Próbki</t>
  </si>
  <si>
    <t>Przetarg</t>
  </si>
  <si>
    <t>Oferta handlowa</t>
  </si>
  <si>
    <t>zł/kg</t>
  </si>
  <si>
    <t>Ilość odpadów 
[Mg/rok]</t>
  </si>
  <si>
    <t>Nazwa katalogowa odpadu</t>
  </si>
  <si>
    <t>Rodzaj odpadu / usługi / opis pochodzenia odpadu</t>
  </si>
  <si>
    <t>Olek Serafiński</t>
  </si>
  <si>
    <t>Aga Łazowska</t>
  </si>
  <si>
    <t>Piotr Kosiński</t>
  </si>
  <si>
    <t>Mirek Karwecki</t>
  </si>
  <si>
    <t>Przemek Kupis</t>
  </si>
  <si>
    <t>Michał Wierzbicki</t>
  </si>
  <si>
    <t>Daniel Dymowski</t>
  </si>
  <si>
    <t>Segment</t>
  </si>
  <si>
    <t>Oil and Gas</t>
  </si>
  <si>
    <t>Food and Beverage</t>
  </si>
  <si>
    <t>Chemicals and Pharmaceuticals</t>
  </si>
  <si>
    <t>Power and Environment</t>
  </si>
  <si>
    <t>Pulp and Paper</t>
  </si>
  <si>
    <t>Mining</t>
  </si>
  <si>
    <t>Construction &amp; Material</t>
  </si>
  <si>
    <t>Light engineering</t>
  </si>
  <si>
    <t>Heavy engineering</t>
  </si>
  <si>
    <t>Healthcare</t>
  </si>
  <si>
    <t>Transportation and Storage</t>
  </si>
  <si>
    <t>Wholesale and retail trade</t>
  </si>
  <si>
    <t>Tertiary</t>
  </si>
  <si>
    <t>Sub-segment</t>
  </si>
  <si>
    <t xml:space="preserve">GM </t>
  </si>
  <si>
    <t>SGA</t>
  </si>
  <si>
    <t>EBIT</t>
  </si>
  <si>
    <t>Surowce</t>
  </si>
  <si>
    <t>Lata kontraktu:</t>
  </si>
  <si>
    <t>EBITDA na kontrakt</t>
  </si>
  <si>
    <t>MARKET</t>
  </si>
  <si>
    <t>INDUSTRY</t>
  </si>
  <si>
    <t>SEGMENT</t>
  </si>
  <si>
    <t>OIL &amp; GAS</t>
  </si>
  <si>
    <t>SUB-SEGMENT</t>
  </si>
  <si>
    <t>DOWNSTREAM</t>
  </si>
  <si>
    <t>SUB-SUB-SEGMENT</t>
  </si>
  <si>
    <t>REFINERY</t>
  </si>
  <si>
    <t>PRZESUNIĘCIE($O$7;PODAJ.POZYCJĘ($B$3;$N$8:$N$150;0);0;LICZ.JEŻELI($N$8:$N$150;$B$3);1)</t>
  </si>
  <si>
    <t>Dane wejściowe</t>
  </si>
  <si>
    <t>Pomocnicza 1</t>
  </si>
  <si>
    <t>Pomocnicza 2</t>
  </si>
  <si>
    <t>Pomocnicza 3</t>
  </si>
  <si>
    <t>Pomocnicza 4</t>
  </si>
  <si>
    <t>AGRICULTURE, FORESTRY &amp; FISHING</t>
  </si>
  <si>
    <t>CROP AND ANIMAL PRODUCTION, HUNTING AND RELATED SERVICES ACTIVITIES</t>
  </si>
  <si>
    <t>IRRIGATION COMMUNITIES</t>
  </si>
  <si>
    <t>PUBLIC AND PRIVATE IRRIGATION ADMINISTRATION</t>
  </si>
  <si>
    <t>FORESTRY AND LOGGING</t>
  </si>
  <si>
    <t>COOPERATIVES AND AGRICULTURAL HOLDINGS</t>
  </si>
  <si>
    <t>RETAIL AND SERVICES</t>
  </si>
  <si>
    <t>FISHING AND AQUACULTURE</t>
  </si>
  <si>
    <t>MUNICIPALITIES</t>
  </si>
  <si>
    <t>MINING &amp; QUARRYING</t>
  </si>
  <si>
    <t>OTHER PUBLIC SERVICES</t>
  </si>
  <si>
    <t>METALLURGY</t>
  </si>
  <si>
    <t>MINING</t>
  </si>
  <si>
    <t>DEFENCE AND COMPULSORY SOCIAL SECURITY</t>
  </si>
  <si>
    <t>QUARRYING</t>
  </si>
  <si>
    <t>CIVILIANS</t>
  </si>
  <si>
    <t>FOOD AND BEVERAGE</t>
  </si>
  <si>
    <t>MANUFACTURE OF BASIC METALS</t>
  </si>
  <si>
    <t>PULP &amp; PAPER</t>
  </si>
  <si>
    <t>MANUFACTURE OF FABRICATED METAL PRODUCTS, EXCEPT MACHINERY AND EQUIPMENT</t>
  </si>
  <si>
    <t>CHEMICAL &amp; PHARMACEUTICAL</t>
  </si>
  <si>
    <t>UPSTREAM</t>
  </si>
  <si>
    <t>OIL &amp; NATURAL GAS EXTRACTION</t>
  </si>
  <si>
    <t>POWER</t>
  </si>
  <si>
    <t>ENVIRONMENTAL SERVICES</t>
  </si>
  <si>
    <t>PETROCHIMICALS</t>
  </si>
  <si>
    <t xml:space="preserve">CONSTRUCTION, DECONSTRUCTION &amp; MATERIALS </t>
  </si>
  <si>
    <t>DAIRY</t>
  </si>
  <si>
    <t>MILK</t>
  </si>
  <si>
    <t>ELECTRONIC AND ELECTRIC PRODUCTS</t>
  </si>
  <si>
    <t>MEAT</t>
  </si>
  <si>
    <t>CHEESE</t>
  </si>
  <si>
    <t>AUTOMOTIVE, TRANSPORT &amp; AERONAUTIC</t>
  </si>
  <si>
    <t>FRUITS AND VEGETABLES</t>
  </si>
  <si>
    <t>YOGURTS</t>
  </si>
  <si>
    <t>OTHER MANUFACTURING</t>
  </si>
  <si>
    <t>OTHER FOOD</t>
  </si>
  <si>
    <t>OTHERS</t>
  </si>
  <si>
    <t>WHOLESALE, RETAIL TRADE</t>
  </si>
  <si>
    <t>BEERS AND SPIRIT</t>
  </si>
  <si>
    <t>POULTRY</t>
  </si>
  <si>
    <t>TRANSPORTATION &amp; STORAGE</t>
  </si>
  <si>
    <t>SOFT DRINK</t>
  </si>
  <si>
    <t>BOVINE</t>
  </si>
  <si>
    <t>PRIVATE SERVICES</t>
  </si>
  <si>
    <t xml:space="preserve">PULP, PAPER &amp; CARDBOARD </t>
  </si>
  <si>
    <t>PORK</t>
  </si>
  <si>
    <t>HEALTHCARE AND SOCIAL WORK ACTIVITIES</t>
  </si>
  <si>
    <t>PACKAGING</t>
  </si>
  <si>
    <t>PACKAGED MEAT</t>
  </si>
  <si>
    <t>TISSUE &amp; OTHERS</t>
  </si>
  <si>
    <t>TRANSPORTATION AUTHORITIES</t>
  </si>
  <si>
    <t>PRINTING</t>
  </si>
  <si>
    <t>FRUITS</t>
  </si>
  <si>
    <t>PUBLIC CONSTRUCTION, PLANNERS &amp; DEVELOPERS</t>
  </si>
  <si>
    <t>PUBLISHING</t>
  </si>
  <si>
    <t>VEGETABLES</t>
  </si>
  <si>
    <t>ENVIRONMENTAL PUBLIC BODIES</t>
  </si>
  <si>
    <t>INORGANIC BASIC CHEMICALS</t>
  </si>
  <si>
    <t>CANNED PRODUCTS</t>
  </si>
  <si>
    <t>PUBLIC UTILITIES</t>
  </si>
  <si>
    <t>ORGANIC BASIC CHEMICALS &amp; POLYMERS</t>
  </si>
  <si>
    <t>JUICES</t>
  </si>
  <si>
    <t>OTHER PUBLIC ADMINISTRATIONS/COMPAGNIES</t>
  </si>
  <si>
    <t>FINE, SPECIALITIES AND FORMULATED CHEMICALS</t>
  </si>
  <si>
    <t>FOREIGN AFFAIRS</t>
  </si>
  <si>
    <t>BIO-REFINERIES</t>
  </si>
  <si>
    <t>DEFENCE ACTIVITIES</t>
  </si>
  <si>
    <t>PHARMACEUTICAL</t>
  </si>
  <si>
    <t>BEER</t>
  </si>
  <si>
    <t>PUBLIC ORDER AND SAFETY ACTIVITIES</t>
  </si>
  <si>
    <t>PRODUCTION AND DISTRIBUTION OF ELECTRICITY</t>
  </si>
  <si>
    <t>WINE</t>
  </si>
  <si>
    <t>COMPULSORY SOCIAL AND SECURITY ACTIVITIES</t>
  </si>
  <si>
    <t>MANUFACTURE AND SALES OF GAS</t>
  </si>
  <si>
    <t>SPIRITS</t>
  </si>
  <si>
    <t>OTHER ENERGIES (STEAM, AIR CONDITIONING SUPPLY)</t>
  </si>
  <si>
    <t>WATER MANAGEMENT</t>
  </si>
  <si>
    <t>WASTE MANAGEMENT</t>
  </si>
  <si>
    <t>GRAPHIC</t>
  </si>
  <si>
    <t>MATERIALS</t>
  </si>
  <si>
    <t>DEINKING</t>
  </si>
  <si>
    <t>CONSTRUCTION &amp; DEMOLITION</t>
  </si>
  <si>
    <t>MANUFACTURE OF COMPUTER, ELECTRONIC AND OPTICAL PRODUCTS</t>
  </si>
  <si>
    <t>MANUFACTURE OF ELECTRICAL EQUIPMENT</t>
  </si>
  <si>
    <t>MOTOR VEHICULES</t>
  </si>
  <si>
    <t>(MANUFACTURE OF) AIR &amp; SPACECRAFT</t>
  </si>
  <si>
    <t>(MANUFACTURE OF) OTHER TRANSPORT EQUIPMENTS</t>
  </si>
  <si>
    <t>FERTILIZERS</t>
  </si>
  <si>
    <t>TEXTILE, LEATHER</t>
  </si>
  <si>
    <t>INDUSTRIAL GAS</t>
  </si>
  <si>
    <t>(MANUFACTURE OF) MACHINERY OR EQUIPMENTS N.E.C</t>
  </si>
  <si>
    <t>SILICE, CARBONATES</t>
  </si>
  <si>
    <t>OTHER (OTHER) MANUFACTURING</t>
  </si>
  <si>
    <t>CHLORINE</t>
  </si>
  <si>
    <t>WHOLESALE, RETAIL TRADE (FOOD)</t>
  </si>
  <si>
    <t>WHOLESALE, RETAIL TRADE (NON FOOD)</t>
  </si>
  <si>
    <t>ETHYLEN, ETHANOL,…</t>
  </si>
  <si>
    <t>LAND TRANSPORTATION</t>
  </si>
  <si>
    <t>BASIC PLASTICS</t>
  </si>
  <si>
    <t>WTARE TRANSPORTATION</t>
  </si>
  <si>
    <t>SYNTHETIC RUBBER</t>
  </si>
  <si>
    <t>AIR TRANSPORT</t>
  </si>
  <si>
    <t>WAREHOUSING (AND SUPPORT ACTIVITIES FOR TRANSPORTATION)</t>
  </si>
  <si>
    <t>MATERIALS AND FORMULATED CHEMICALS</t>
  </si>
  <si>
    <t>POSTAL &amp; COURRIER ACTIVITIES</t>
  </si>
  <si>
    <t>AGROCHEMICALS</t>
  </si>
  <si>
    <t>REPAIR AND INSTALLATION OF MACHINERY AND EQUIPMENT</t>
  </si>
  <si>
    <t>DETERGENTS</t>
  </si>
  <si>
    <t>ACCOMODATION &amp; FOOD SERVICE ACTIVITIES</t>
  </si>
  <si>
    <t>PERSONAL CARE &amp; COSMETICS</t>
  </si>
  <si>
    <t>INFORMATION AND COMMUNICATION</t>
  </si>
  <si>
    <t>FINANCIAL AND INSURANCE ACTIVITIES</t>
  </si>
  <si>
    <t>BIO FUELS</t>
  </si>
  <si>
    <t>REAL ESTATE ACTIVITIES AND ASSOCIATED SERVICES</t>
  </si>
  <si>
    <t>BIO POLYMERS</t>
  </si>
  <si>
    <t>PROFESSIONAL, SCIENTIFIC AND TECHNICAL ACTIVITIES</t>
  </si>
  <si>
    <t>FOOD INGREDIENTS</t>
  </si>
  <si>
    <t>ADMINISTRATIVE AND SUPPORT SERVICE ACTIVITIES</t>
  </si>
  <si>
    <t>MEDICINES CHEMISTRY</t>
  </si>
  <si>
    <t>EDUCATION</t>
  </si>
  <si>
    <t>BIOTECHNOLOGIES</t>
  </si>
  <si>
    <t>ARTS, ENTERTAINMENT AND RECREATION</t>
  </si>
  <si>
    <t>NUCLEAR</t>
  </si>
  <si>
    <t>OTHER PRIVATE SERVICES</t>
  </si>
  <si>
    <t>COAL FIRED PP</t>
  </si>
  <si>
    <t>HOSPITALS</t>
  </si>
  <si>
    <t>GAS AND DIESEL FIRED PP</t>
  </si>
  <si>
    <t>HEALTHCARE &amp; ANALYTICAL CENTERS</t>
  </si>
  <si>
    <t>RENEWABLE (SOLAR, WIND, HYDRO, BIOMASS..)</t>
  </si>
  <si>
    <t>SOCIAL WORK ACTIVITIES</t>
  </si>
  <si>
    <t>OTHER</t>
  </si>
  <si>
    <t>CERAMICS</t>
  </si>
  <si>
    <t>CEMENT, LIME &amp; PLASTER</t>
  </si>
  <si>
    <t>OTHER MATERIALS</t>
  </si>
  <si>
    <t>CONSTRUCTION</t>
  </si>
  <si>
    <t>DEMOLITION (AND SITE PREPARATION)</t>
  </si>
  <si>
    <t>PUBLIC WORKS</t>
  </si>
  <si>
    <t>MICORELECTRONICS AND SEMICONDUCTORS</t>
  </si>
  <si>
    <t>WHOLESALE</t>
  </si>
  <si>
    <t>SPECIALIZED RETAIL</t>
  </si>
  <si>
    <t>NON SPECIALIZED RETAIL</t>
  </si>
  <si>
    <t>ACCOMODATION, HOTELS</t>
  </si>
  <si>
    <t>FOOD &amp; BEVERAGE ACTIVITIES</t>
  </si>
  <si>
    <t>CONDOMINIUMS</t>
  </si>
  <si>
    <t xml:space="preserve">BUSINESS DISTRICT AND BUILDINGS (MANAGEMENT OF) </t>
  </si>
  <si>
    <t>ACTIVITIES OF HOUSEHOLDS AS EMPLOYERS</t>
  </si>
  <si>
    <t>HEMODIALYSIS</t>
  </si>
  <si>
    <t>LABORATORY</t>
  </si>
  <si>
    <t>PORT AUTHORITIES</t>
  </si>
  <si>
    <t>AIRPORTS AUTHORITIES</t>
  </si>
  <si>
    <t>PUBLIC TRANSPORTATION AUTHORITIES</t>
  </si>
  <si>
    <t>PUBLIC CONSTRUCTION</t>
  </si>
  <si>
    <t>PLANNERS &amp; DEVELOPERS</t>
  </si>
  <si>
    <t>ENVIRONMENTAL PUBLIC BODIES / RIVER SYNDICATES</t>
  </si>
  <si>
    <t>MINISTRIES (ENVIRONMENT, ENERGY…)</t>
  </si>
  <si>
    <t>REGULATORS</t>
  </si>
  <si>
    <t>PUBLIC WATER UTILITIES</t>
  </si>
  <si>
    <t>DRINKING WATER</t>
  </si>
  <si>
    <t>WASTE WATER</t>
  </si>
  <si>
    <t>SLUDGE TREATMENT</t>
  </si>
  <si>
    <t>PUBLIC WASTE UTILITIES</t>
  </si>
  <si>
    <t>LANDFILL</t>
  </si>
  <si>
    <t>WASTE TO ENERGY WTE</t>
  </si>
  <si>
    <t>SOIL REMEDIATION</t>
  </si>
  <si>
    <t>SORTING</t>
  </si>
  <si>
    <t>PUBLIC ENERGY UTILITIES</t>
  </si>
  <si>
    <t>SOCIAL HOUSING</t>
  </si>
  <si>
    <t>PUBLIC BUILDINGS</t>
  </si>
  <si>
    <t>CULTURE</t>
  </si>
  <si>
    <t>LEISURE</t>
  </si>
  <si>
    <t>Market</t>
  </si>
  <si>
    <t>Sub-sub-segment</t>
  </si>
  <si>
    <t>dni/m-c</t>
  </si>
  <si>
    <t>Obrót</t>
  </si>
  <si>
    <t>Obsługa</t>
  </si>
  <si>
    <t>Fundusz socjalny (odpis)
[zł/m-c]</t>
  </si>
  <si>
    <t>Pracownicy</t>
  </si>
  <si>
    <t>Amortyzacja</t>
  </si>
  <si>
    <t>Wynajem</t>
  </si>
  <si>
    <t/>
  </si>
  <si>
    <t>Segmenty i firmy</t>
  </si>
  <si>
    <t>Company name</t>
  </si>
  <si>
    <t>Client type</t>
  </si>
  <si>
    <t>Sub-Sub-Segment</t>
  </si>
  <si>
    <t>AUSTRIA Juice (AGRANA)</t>
  </si>
  <si>
    <t>Carrefour</t>
  </si>
  <si>
    <t>Lajkonik</t>
  </si>
  <si>
    <t>ISS</t>
  </si>
  <si>
    <t>Polimex-Mostostal</t>
  </si>
  <si>
    <t>Eurocash</t>
  </si>
  <si>
    <t>McDonald</t>
  </si>
  <si>
    <t>Dino</t>
  </si>
  <si>
    <t>BASF</t>
  </si>
  <si>
    <t>Eko Basket Recykling</t>
  </si>
  <si>
    <t>Eco-Bin</t>
  </si>
  <si>
    <t>Mars</t>
  </si>
  <si>
    <t>Enkev</t>
  </si>
  <si>
    <t>Aldi</t>
  </si>
  <si>
    <t>Arkadia CH</t>
  </si>
  <si>
    <t>Alex</t>
  </si>
  <si>
    <t>Hutchinson</t>
  </si>
  <si>
    <t>Ligum-Pol</t>
  </si>
  <si>
    <t>Minex</t>
  </si>
  <si>
    <t>LIDL</t>
  </si>
  <si>
    <t>BP</t>
  </si>
  <si>
    <t>Dijo</t>
  </si>
  <si>
    <t>IL Cosmetics</t>
  </si>
  <si>
    <t>Miasto Sieradz</t>
  </si>
  <si>
    <t>Bioagra</t>
  </si>
  <si>
    <t>Fuchs Oil Corporation</t>
  </si>
  <si>
    <t>Frito Lay</t>
  </si>
  <si>
    <t>Orlen Eko</t>
  </si>
  <si>
    <t>ID Logistics</t>
  </si>
  <si>
    <t>Aryzta</t>
  </si>
  <si>
    <t>Biedronka</t>
  </si>
  <si>
    <t>PKP Olsztyn</t>
  </si>
  <si>
    <t>AKZO NOBEL DECORATIVE PAINTS</t>
  </si>
  <si>
    <t>Agata Meble</t>
  </si>
  <si>
    <t>Fiege</t>
  </si>
  <si>
    <t>Jurant</t>
  </si>
  <si>
    <t>Miasto Olsztyn</t>
  </si>
  <si>
    <t>BM EKO</t>
  </si>
  <si>
    <t>CH Bemowo</t>
  </si>
  <si>
    <t>AmRest</t>
  </si>
  <si>
    <t>Atalian(Makro)</t>
  </si>
  <si>
    <t>Orlen</t>
  </si>
  <si>
    <t>DU PONT BELGIA</t>
  </si>
  <si>
    <t>Danone</t>
  </si>
  <si>
    <t>Eco Wood</t>
  </si>
  <si>
    <t>Miasto Chojnice</t>
  </si>
  <si>
    <t>H&amp;M</t>
  </si>
  <si>
    <t>Raben Logistics Polska</t>
  </si>
  <si>
    <t>ENERIS Surowce</t>
  </si>
  <si>
    <t>MPWiK Warszawa</t>
  </si>
  <si>
    <t>ArcelorMittal Poland</t>
  </si>
  <si>
    <t>Padav</t>
  </si>
  <si>
    <t>InterEuropol</t>
  </si>
  <si>
    <t>Kerry Polska</t>
  </si>
  <si>
    <t>Miasto Ostrowiec</t>
  </si>
  <si>
    <t>Illochroma</t>
  </si>
  <si>
    <t>ERA</t>
  </si>
  <si>
    <t>GDDKiA</t>
  </si>
  <si>
    <t>Constantia Teich Poland</t>
  </si>
  <si>
    <t>Investeko Serwis</t>
  </si>
  <si>
    <t>Coveris Rigid</t>
  </si>
  <si>
    <t>Bioton</t>
  </si>
  <si>
    <t>Nestle</t>
  </si>
  <si>
    <t>Mecalit</t>
  </si>
  <si>
    <t>Ficomirros Polska</t>
  </si>
  <si>
    <t>ILS Sp. z o.o.</t>
  </si>
  <si>
    <t>BLS</t>
  </si>
  <si>
    <t>Movianto</t>
  </si>
  <si>
    <t>Amazon</t>
  </si>
  <si>
    <t>Max Hamburger</t>
  </si>
  <si>
    <t>LRG</t>
  </si>
  <si>
    <t>Man Trucks</t>
  </si>
  <si>
    <t>Man Bus</t>
  </si>
  <si>
    <t>Podlaski Urząd Wojewódzki</t>
  </si>
  <si>
    <t>Bieszczadzki Oddział Straży Granicznej</t>
  </si>
  <si>
    <t>Oriflame</t>
  </si>
  <si>
    <t>Complex Service</t>
  </si>
  <si>
    <t>Adamed</t>
  </si>
  <si>
    <t>Interprint</t>
  </si>
  <si>
    <t>Auchan</t>
  </si>
  <si>
    <t>Eurest</t>
  </si>
  <si>
    <t>Foodcare</t>
  </si>
  <si>
    <t>Aflofarm</t>
  </si>
  <si>
    <t>Atalian</t>
  </si>
  <si>
    <t>Burger King</t>
  </si>
  <si>
    <t>Cooper Standard</t>
  </si>
  <si>
    <t>Adgar</t>
  </si>
  <si>
    <t>MOSIR Lublin</t>
  </si>
  <si>
    <t>Marpol</t>
  </si>
  <si>
    <t>Polskie Młyny</t>
  </si>
  <si>
    <t>Media Ekspert</t>
  </si>
  <si>
    <t>CircleK</t>
  </si>
  <si>
    <t>Jelenia Plast</t>
  </si>
  <si>
    <t>Alpema Construtions</t>
  </si>
  <si>
    <t>Orange</t>
  </si>
  <si>
    <t>Grabowski Eksport-Import Handel Hurtowy</t>
  </si>
  <si>
    <t>BiedronkaCD</t>
  </si>
  <si>
    <t>ANL Plastics</t>
  </si>
  <si>
    <t>wHOLESALE, RETAIL TRADE</t>
  </si>
  <si>
    <t>NETTO</t>
  </si>
  <si>
    <t>Magna Automotive</t>
  </si>
  <si>
    <t>MOTOR VAHICLES</t>
  </si>
  <si>
    <t>JAMAR</t>
  </si>
  <si>
    <t>Drogeria Natura</t>
  </si>
  <si>
    <t>MAKRO Cash and Carry Polska S.A</t>
  </si>
  <si>
    <t>Przedsiębiorstwo Państwowe Porty Lotnicze</t>
  </si>
  <si>
    <t>LEAR CORPORATION POLAND</t>
  </si>
  <si>
    <t>CNH Industrial Polska</t>
  </si>
  <si>
    <t>No</t>
  </si>
  <si>
    <t>Tesco</t>
  </si>
  <si>
    <t>Rossmann</t>
  </si>
  <si>
    <t>ZPUE</t>
  </si>
  <si>
    <t>Ruch</t>
  </si>
  <si>
    <t xml:space="preserve">RR Donnelley </t>
  </si>
  <si>
    <t>Tchibo</t>
  </si>
  <si>
    <t>Amrest</t>
  </si>
  <si>
    <t>Zielone Arkady</t>
  </si>
  <si>
    <t xml:space="preserve">Decathlon </t>
  </si>
  <si>
    <t xml:space="preserve">WOG 31 </t>
  </si>
  <si>
    <t xml:space="preserve">WOG 33 </t>
  </si>
  <si>
    <t>WOG 26</t>
  </si>
  <si>
    <t>Sopp</t>
  </si>
  <si>
    <t>Univeg</t>
  </si>
  <si>
    <t xml:space="preserve">Lotnisko Szymany </t>
  </si>
  <si>
    <t xml:space="preserve">PKP Cargo </t>
  </si>
  <si>
    <t xml:space="preserve">Famet </t>
  </si>
  <si>
    <t xml:space="preserve">Leroy Merlin </t>
  </si>
  <si>
    <t xml:space="preserve">Remondis </t>
  </si>
  <si>
    <t xml:space="preserve">Podlaski Oddział Straży Granicznej </t>
  </si>
  <si>
    <t xml:space="preserve">Natura </t>
  </si>
  <si>
    <t xml:space="preserve">Van Company </t>
  </si>
  <si>
    <t xml:space="preserve">HUF </t>
  </si>
  <si>
    <t>Stora Enso</t>
  </si>
  <si>
    <t>SUEZ Zachód</t>
  </si>
  <si>
    <t xml:space="preserve">Miasto Koło </t>
  </si>
  <si>
    <t xml:space="preserve">Hortex </t>
  </si>
  <si>
    <t xml:space="preserve">DSM </t>
  </si>
  <si>
    <t>Walki</t>
  </si>
  <si>
    <t xml:space="preserve">Nordis </t>
  </si>
  <si>
    <t xml:space="preserve">Lambertz </t>
  </si>
  <si>
    <t xml:space="preserve">Kancelaria Prezydenta RP </t>
  </si>
  <si>
    <t>T&amp;R Bioeko</t>
  </si>
  <si>
    <t xml:space="preserve">Gmina Biskupiec </t>
  </si>
  <si>
    <t xml:space="preserve">Centralny Ośrodek Sportowy </t>
  </si>
  <si>
    <t xml:space="preserve">WOG 24 </t>
  </si>
  <si>
    <t xml:space="preserve">Kaufland </t>
  </si>
  <si>
    <t xml:space="preserve">Świat Lnu </t>
  </si>
  <si>
    <t xml:space="preserve">Stepan </t>
  </si>
  <si>
    <t>Zakłady Azotowe Chorzów</t>
  </si>
  <si>
    <t>SRG Global</t>
  </si>
  <si>
    <t xml:space="preserve">Mazowiecki Zarząd Dróg Wojewódzkich </t>
  </si>
  <si>
    <t>WOG 21</t>
  </si>
  <si>
    <t>Totalizator Sportowy</t>
  </si>
  <si>
    <t xml:space="preserve">Polser </t>
  </si>
  <si>
    <t xml:space="preserve">Arix </t>
  </si>
  <si>
    <t xml:space="preserve">K-Flex </t>
  </si>
  <si>
    <t xml:space="preserve">WOG 35 </t>
  </si>
  <si>
    <t>Termo Organika</t>
  </si>
  <si>
    <t>Vandemoortele</t>
  </si>
  <si>
    <t>TP</t>
  </si>
  <si>
    <t xml:space="preserve">New Pattern </t>
  </si>
  <si>
    <t xml:space="preserve">Lerg </t>
  </si>
  <si>
    <t xml:space="preserve">Miasto Przemyśl </t>
  </si>
  <si>
    <t xml:space="preserve">Prodlepol </t>
  </si>
  <si>
    <t xml:space="preserve">Thermoplast </t>
  </si>
  <si>
    <t xml:space="preserve">Nedermann </t>
  </si>
  <si>
    <t>Siemens</t>
  </si>
  <si>
    <t xml:space="preserve">EkoPasza </t>
  </si>
  <si>
    <t>Union Knopf</t>
  </si>
  <si>
    <t xml:space="preserve">Scania </t>
  </si>
  <si>
    <t>Warwin</t>
  </si>
  <si>
    <t>Unifood</t>
  </si>
  <si>
    <t xml:space="preserve">Podlaski Zarząd Dróg Wojewódzkich </t>
  </si>
  <si>
    <t>Volkswagen Grup</t>
  </si>
  <si>
    <t xml:space="preserve">Castorama </t>
  </si>
  <si>
    <t xml:space="preserve">Miasto Ciechanów </t>
  </si>
  <si>
    <t>Sitech</t>
  </si>
  <si>
    <t>Volkswagen Motor Polska</t>
  </si>
  <si>
    <t>Volkswagen Poznań</t>
  </si>
  <si>
    <t xml:space="preserve">Gmina Juchnowiec </t>
  </si>
  <si>
    <t>Urząd Miasta Łomża</t>
  </si>
  <si>
    <t xml:space="preserve">Fortuna </t>
  </si>
  <si>
    <t xml:space="preserve">Makro </t>
  </si>
  <si>
    <t xml:space="preserve">Megatech </t>
  </si>
  <si>
    <t>Stacja Grawitacyjna</t>
  </si>
  <si>
    <t>Siemens Healthcare</t>
  </si>
  <si>
    <t xml:space="preserve">Albea </t>
  </si>
  <si>
    <t>Reckitt Benckiser</t>
  </si>
  <si>
    <t xml:space="preserve">Alumetal </t>
  </si>
  <si>
    <t xml:space="preserve">Termatex </t>
  </si>
  <si>
    <t>Rzeszowska Agencja Rozwoju Regionalnego</t>
  </si>
  <si>
    <t>Schumacher</t>
  </si>
  <si>
    <t xml:space="preserve">Fibro Poland </t>
  </si>
  <si>
    <t>Sodexo</t>
  </si>
  <si>
    <t xml:space="preserve">Alupol </t>
  </si>
  <si>
    <t>ZDM Bielsko Biała</t>
  </si>
  <si>
    <t>Tarkett</t>
  </si>
  <si>
    <t>UTC CCS Manufacturing</t>
  </si>
  <si>
    <t>Solvay</t>
  </si>
  <si>
    <t xml:space="preserve">Lubelski Zarząd przejść Granicznych </t>
  </si>
  <si>
    <t>SCA</t>
  </si>
  <si>
    <t xml:space="preserve">Wedel </t>
  </si>
  <si>
    <t xml:space="preserve">Atalian </t>
  </si>
  <si>
    <t xml:space="preserve">Media Markt </t>
  </si>
  <si>
    <t xml:space="preserve">Cinema City </t>
  </si>
  <si>
    <t>Basf</t>
  </si>
  <si>
    <t xml:space="preserve">CH Kometa </t>
  </si>
  <si>
    <t xml:space="preserve">XBS Group </t>
  </si>
  <si>
    <t>Zakłady Azotowe Chorzów S.A</t>
  </si>
  <si>
    <t xml:space="preserve">PREMIUM DRUK </t>
  </si>
  <si>
    <t>Frito lay</t>
  </si>
  <si>
    <t xml:space="preserve">Biedronka </t>
  </si>
  <si>
    <t xml:space="preserve">Carrefour </t>
  </si>
  <si>
    <t>Lidl</t>
  </si>
  <si>
    <t>WINKELMANN</t>
  </si>
  <si>
    <t>Klient płaci SUEZ [PLN/rok]</t>
  </si>
  <si>
    <t>Suma kosztów
[zł/m-c]</t>
  </si>
  <si>
    <t>Suma kosztów
[zł/rok]</t>
  </si>
  <si>
    <t>Eksploatacja</t>
  </si>
  <si>
    <t xml:space="preserve">Jednostka </t>
  </si>
  <si>
    <t>Termin Płatności</t>
  </si>
  <si>
    <t>Długość Kontraktu</t>
  </si>
  <si>
    <t>Czy możliwa zmiana partii transportowej?</t>
  </si>
  <si>
    <t>Komentarz uzupełniający:
- oczekiwana przez klienta cena
- co ma zawierać cena
- pomysł na zejście odpadu
- inne</t>
  </si>
  <si>
    <t>Minimalna partia transportowa</t>
  </si>
  <si>
    <t>Częstotliwość 
odbiorów</t>
  </si>
  <si>
    <t>Wyrównianie do wskaźnika</t>
  </si>
  <si>
    <t>Stanowisko</t>
  </si>
  <si>
    <t>Koszt miesięczny CAŁKOWITY wszystkich pracowników
[zł/msc]</t>
  </si>
  <si>
    <t>Koszt roczny CAŁKOWITY wszystkich pracowników
[zł/rok]</t>
  </si>
  <si>
    <t>Ilość osób</t>
  </si>
  <si>
    <t>SUEZ</t>
  </si>
  <si>
    <t>Opis</t>
  </si>
  <si>
    <t>Obrót 
[zł/m-c]</t>
  </si>
  <si>
    <t>Zysk 
[zł/m-c]</t>
  </si>
  <si>
    <t>Obrót 
[zł/rok]</t>
  </si>
  <si>
    <t>Zysk
 [zł/rok]</t>
  </si>
  <si>
    <t>Suma:</t>
  </si>
  <si>
    <t>Ryczałt</t>
  </si>
  <si>
    <t xml:space="preserve"> Podsumowanie </t>
  </si>
  <si>
    <t>SGA - Contract Manager</t>
  </si>
  <si>
    <t>Wartość</t>
  </si>
  <si>
    <t>Narzut
[%]</t>
  </si>
  <si>
    <t>KTO</t>
  </si>
  <si>
    <t>KIEDY</t>
  </si>
  <si>
    <t>xx</t>
  </si>
  <si>
    <t>Lider wyceny</t>
  </si>
  <si>
    <t>Ostatnio edytowany przez</t>
  </si>
  <si>
    <t>Data ostatniej edycji</t>
  </si>
  <si>
    <t>Zysk [PLN/kontrakt]</t>
  </si>
  <si>
    <t>Klient płaci SUEZ [PLN/kontrakt]</t>
  </si>
  <si>
    <t>Ilość odpadów 
[Mg/kontrakt]</t>
  </si>
  <si>
    <t>Bilans Klienta
[zł/rok]</t>
  </si>
  <si>
    <t>Bilans klienta
[zł/kontrakt]</t>
  </si>
  <si>
    <t>Odpady Przemysłowe</t>
  </si>
  <si>
    <t>Nazewnictwo</t>
  </si>
  <si>
    <t>Ilość w roku
[szt./rok]</t>
  </si>
  <si>
    <t>Cena jedn
[zł/szt.]</t>
  </si>
  <si>
    <t>Roczny Koszt całkowity
[zł/rok]</t>
  </si>
  <si>
    <t>Koszt miesięczny
[zł/msc]</t>
  </si>
  <si>
    <t>Zmień cenę o</t>
  </si>
  <si>
    <t>Zaokrąglenie</t>
  </si>
  <si>
    <t>Break_point_1</t>
  </si>
  <si>
    <t>Break_point_2</t>
  </si>
  <si>
    <t xml:space="preserve">  Odpady Razem   </t>
  </si>
  <si>
    <t>Agencja</t>
  </si>
  <si>
    <t>Koszty dodatkowe</t>
  </si>
  <si>
    <t>Ulica</t>
  </si>
  <si>
    <t>Kod pocztowy</t>
  </si>
  <si>
    <t>Zakup</t>
  </si>
  <si>
    <t>Miasto</t>
  </si>
  <si>
    <t>poj</t>
  </si>
  <si>
    <t>zł/poj/m-c</t>
  </si>
  <si>
    <t xml:space="preserve">Komputer, oprogramowanie </t>
  </si>
  <si>
    <t>Kontenery 36 m3</t>
  </si>
  <si>
    <t>Kontenery 20 m3</t>
  </si>
  <si>
    <t xml:space="preserve">Kontenery 16 m3 </t>
  </si>
  <si>
    <t>Pojemnik 1100l na kółkach z klapą</t>
  </si>
  <si>
    <t xml:space="preserve">Pojemnik DPPL  1100l (mauzer) </t>
  </si>
  <si>
    <t>Pojemnik 240 l na kółkach z klapą</t>
  </si>
  <si>
    <t>Pojemnik 120l na kółkach z klapą</t>
  </si>
  <si>
    <t xml:space="preserve">Pojemnik siatkowy 600l </t>
  </si>
  <si>
    <t>Samochód ( Hakowiec duży)</t>
  </si>
  <si>
    <t>Przyczepa do hakowca</t>
  </si>
  <si>
    <t>Namiot</t>
  </si>
  <si>
    <t>Podesty pod kontenery WG-P-150</t>
  </si>
  <si>
    <t>Sprzęt (klucz, lewarek, apteczki, gaśnice, szafki gosp., apteczki ekologiczne, kompresor)</t>
  </si>
  <si>
    <t>Waga paletowa</t>
  </si>
  <si>
    <t>Pompa szlamowa</t>
  </si>
  <si>
    <t>Badania pracowników</t>
  </si>
  <si>
    <t xml:space="preserve">Szkolenia pracowników </t>
  </si>
  <si>
    <t>Ubrania robocze/BHP (komplet ubrań+ na wymianę, kamizelki, rękawice, buty, okulary, kaski)</t>
  </si>
  <si>
    <t>Pralnia</t>
  </si>
  <si>
    <t>Telefony komórkowe pracowników</t>
  </si>
  <si>
    <t>Usługa sprzątania + środki czystości (pasta BHP, mydło, płyb i gąbki do mycia naczyń, papier toaletowy)</t>
  </si>
  <si>
    <t>Sznurek/drut do belownicy</t>
  </si>
  <si>
    <t>Gaz do wózka (butle)</t>
  </si>
  <si>
    <t>Koszty związane z instalacją kontenerów socjalnych,transport itp..</t>
  </si>
  <si>
    <t>Koszt Viatol dla hakowca</t>
  </si>
  <si>
    <t>Ubezpieczenia samochodu</t>
  </si>
  <si>
    <t>Tabliczki z oznaczeniami pojemników</t>
  </si>
  <si>
    <t>Naprawy sprzętu</t>
  </si>
  <si>
    <t>Sprzęt drobny</t>
  </si>
  <si>
    <t>Folia stretch</t>
  </si>
  <si>
    <t>Big bagi</t>
  </si>
  <si>
    <t>Beczki</t>
  </si>
  <si>
    <t>Wynajem placów</t>
  </si>
  <si>
    <t>Energia (prasy, budynek socjalny)</t>
  </si>
  <si>
    <t>Belownica duża / mała / kanałowa</t>
  </si>
  <si>
    <t>Kontenery socjalne + wyposażenie socjalne (szafki robocze, krzesła, stoły itp..)</t>
  </si>
  <si>
    <t>Wózek widłowy z obrotnicą 2,5Mg</t>
  </si>
  <si>
    <t>Odpady razem</t>
  </si>
  <si>
    <t>LICZYĆ GDY ZATRUDNIENIE PRZEZ SUEZ</t>
  </si>
  <si>
    <t>Tonaż do strumienia</t>
  </si>
  <si>
    <t>Tonaż całkowity</t>
  </si>
  <si>
    <t>Kolumna1</t>
  </si>
  <si>
    <t xml:space="preserve">Amortyzacja </t>
  </si>
  <si>
    <t>Przetarg/oferta handlowa</t>
  </si>
  <si>
    <t>Szacunkowa ilość odpadu /rok</t>
  </si>
  <si>
    <t>Rentowność [%]</t>
  </si>
  <si>
    <t>Opcja</t>
  </si>
  <si>
    <t>Nazwa/Numer Obiektu</t>
  </si>
  <si>
    <t>zł/kontener</t>
  </si>
  <si>
    <t>zł/kontener/m-c</t>
  </si>
  <si>
    <t>Lokalizacja</t>
  </si>
  <si>
    <t xml:space="preserve">Numer oferty: </t>
  </si>
  <si>
    <t xml:space="preserve">Wytwórca odpadu: </t>
  </si>
  <si>
    <t>Data przygotowania oferty:</t>
  </si>
  <si>
    <t>Wyłączony z obrotu</t>
  </si>
  <si>
    <t>Handlowiec</t>
  </si>
  <si>
    <t>Wyceny</t>
  </si>
  <si>
    <t>Kalkulacje</t>
  </si>
  <si>
    <t>Miesiąc</t>
  </si>
  <si>
    <t>Średni kurs €</t>
  </si>
  <si>
    <t>PIX</t>
  </si>
  <si>
    <t>Euwid</t>
  </si>
  <si>
    <t>Podsumowanie SUEZ Polska</t>
  </si>
  <si>
    <t>Brygadzista zarządzający (wózkowy) + wagowy - logistyk - osoba od dokumentacji</t>
  </si>
  <si>
    <t>Pracownik operacyjny</t>
  </si>
  <si>
    <t>Kontenery 16 m3</t>
  </si>
  <si>
    <t>Zatrudnienie</t>
  </si>
  <si>
    <t>Kontener</t>
  </si>
  <si>
    <t>Pojemnik</t>
  </si>
  <si>
    <t>Samochód</t>
  </si>
  <si>
    <t>Belownica</t>
  </si>
  <si>
    <t xml:space="preserve">Worki 120l antystatyczne do beczek </t>
  </si>
  <si>
    <t>Komuputer z oprogramowaniem i pakietem biurowym</t>
  </si>
  <si>
    <t>Belownica MK3000 2K Avermann</t>
  </si>
  <si>
    <t>Belownica MK3000 3K Avermann - OPCJA</t>
  </si>
  <si>
    <t>Prasokontener dla kodu 15 01 06 - OPCJA I</t>
  </si>
  <si>
    <t>Belownica Strautmann BaleTainer</t>
  </si>
  <si>
    <t>Wózek paletowy z wagą</t>
  </si>
  <si>
    <t xml:space="preserve">Kontener 16 m szczelny z dachem </t>
  </si>
  <si>
    <t xml:space="preserve">Pojemniki metalowe 2,5 m </t>
  </si>
  <si>
    <t>Pojemnik ASF 800 L  - OPCJA</t>
  </si>
  <si>
    <t>Pojemnik ASF 1000 L</t>
  </si>
  <si>
    <t xml:space="preserve">Beczki metalowe z deklem  200l </t>
  </si>
  <si>
    <t>Beczki z tworzywa z deklem  200l</t>
  </si>
  <si>
    <t>Beczka metalowa z deklem 60 l</t>
  </si>
  <si>
    <t>Worki BB</t>
  </si>
  <si>
    <t>kontener 7 m3</t>
  </si>
  <si>
    <t>DPPL 1000l</t>
  </si>
  <si>
    <t>palox 660l bez pokryw</t>
  </si>
  <si>
    <t>Kontener 36m3 z dachem przesuwnym do kosmetyków 07 06 81</t>
  </si>
  <si>
    <t>worki ok 1000l</t>
  </si>
  <si>
    <t>Gaz do cięcia - 1butla acetylenAT40 /7kg</t>
  </si>
  <si>
    <t>Tlen do cięcia - 1 butla tlen6,5m3</t>
  </si>
  <si>
    <t>Ubrania robocze/BHP</t>
  </si>
  <si>
    <t>Telefony komórkowe pracowników z kartą SIM</t>
  </si>
  <si>
    <t xml:space="preserve">Worki foliowe do poj 120 </t>
  </si>
  <si>
    <t>Worki foliowe do poj  240</t>
  </si>
  <si>
    <t>Worki do Mauzerów/ASP</t>
  </si>
  <si>
    <t>Komputer, oprogramowanie (licencja office wazna przez rok - koszt to 300 euro rocznie)</t>
  </si>
  <si>
    <t>Olej napędowy do wózka 8 Mg</t>
  </si>
  <si>
    <t>Doradztwo ADR</t>
  </si>
  <si>
    <t>Wózek widłowy 8Mg do obsługi złomu</t>
  </si>
  <si>
    <t>Wózek widłowy elektryczny z obrotnicą 3,5Mg</t>
  </si>
  <si>
    <t>Wózek widłowy gazowy z obrotnicą 2,5Mg</t>
  </si>
  <si>
    <t>wózek elektryczny - melex z przyczepą</t>
  </si>
  <si>
    <t>Kontener 36 m3 na   15 01 02, 16 01 19, 15 01 06- w tym wymiana dla 15 01 02, 16 01 19</t>
  </si>
  <si>
    <t>Paleciak
dostawa do 6 tygodni
koszt z dostawą</t>
  </si>
  <si>
    <t>ASP dla Klienta
dostawa 6-8 tygodni</t>
  </si>
  <si>
    <t>ASP na wymianę
dostawa 6-8 tygodni</t>
  </si>
  <si>
    <t>Mauzer dla klienta</t>
  </si>
  <si>
    <t>Mauzer na wymianę</t>
  </si>
  <si>
    <t>Palniki, butle, maski</t>
  </si>
  <si>
    <t>Ubrania robocze/BHP (komplet ubrań+ na wymianę, buty)</t>
  </si>
  <si>
    <t>Środki ochrony osobistej ( Rękawice, okulart, itp.)</t>
  </si>
  <si>
    <t xml:space="preserve"> środki czystości (pasta BHP, mydło, płyb i gąbki do mycia naczyń, papier toaletowy)</t>
  </si>
  <si>
    <t xml:space="preserve">Worki foliowe </t>
  </si>
  <si>
    <t>Posiłki regeneracyjne</t>
  </si>
  <si>
    <t>Komputer + oprogramowenie</t>
  </si>
  <si>
    <t>Koszt viaTOLL</t>
  </si>
  <si>
    <t>Energia</t>
  </si>
  <si>
    <t>Wynajem placów/przestrzeni</t>
  </si>
  <si>
    <t>Przyczepa</t>
  </si>
  <si>
    <t>Podesty pod kontenery</t>
  </si>
  <si>
    <t>Worki</t>
  </si>
  <si>
    <t>Prasokontener</t>
  </si>
  <si>
    <t>Gaz do cięcia</t>
  </si>
  <si>
    <t xml:space="preserve">Tlen do cięcia </t>
  </si>
  <si>
    <t>ASP</t>
  </si>
  <si>
    <t>Mauzer</t>
  </si>
  <si>
    <t>Olej napędowy do wózka</t>
  </si>
  <si>
    <t>Palox</t>
  </si>
  <si>
    <t>Wózek widłowy elektryczny</t>
  </si>
  <si>
    <t>Wózek widłowy gazowy</t>
  </si>
  <si>
    <t>wózek elektryczny</t>
  </si>
  <si>
    <t>kamil</t>
  </si>
  <si>
    <t>Jeżeli nie pojawia się okno wyboru, uruchom makra i spróbuj jeszcze raz!</t>
  </si>
  <si>
    <t>Cena jednostkowa</t>
  </si>
  <si>
    <t>x</t>
  </si>
  <si>
    <t>zł/rbh</t>
  </si>
  <si>
    <t>S.Wyceny</t>
  </si>
  <si>
    <t xml:space="preserve"> CAPEX </t>
  </si>
  <si>
    <t>zł/msc</t>
  </si>
  <si>
    <t>zł/szt</t>
  </si>
  <si>
    <t>zł/szt/rok</t>
  </si>
  <si>
    <t>zł/szt/msc</t>
  </si>
  <si>
    <t>Opis kosztu</t>
  </si>
  <si>
    <t>Akceptacja</t>
  </si>
  <si>
    <t>Podsumowanie Miesięczne</t>
  </si>
  <si>
    <t>Podsumowanie Roczne</t>
  </si>
  <si>
    <t>Usługa sprzątania</t>
  </si>
  <si>
    <t>Środki czystości (pasta BHP, mydło, płyb i gąbki do mycia naczyń, papier toaletowy)</t>
  </si>
  <si>
    <t>Wyłaczone z obrotu i oferty</t>
  </si>
  <si>
    <t>LATA KONTRAKTU:</t>
  </si>
  <si>
    <t>Rodzaj sprzętu</t>
  </si>
  <si>
    <t>Zysk [zł/Mg]</t>
  </si>
  <si>
    <t>Kolumna2</t>
  </si>
  <si>
    <t>wynagrodzenie zł/msc</t>
  </si>
  <si>
    <t>wynagrodzenie zł/rok</t>
  </si>
  <si>
    <t>KLIENT:</t>
  </si>
  <si>
    <t>LOKALIZACJA:</t>
  </si>
  <si>
    <t>Proces zagospodarowania</t>
  </si>
  <si>
    <t>Wyrównanie do wskaźnika dla Klienta</t>
  </si>
  <si>
    <t>SUEZ płaci Klientowi [PLN/rok]</t>
  </si>
  <si>
    <t>koszt pracodawcy</t>
  </si>
  <si>
    <t>koszt operacyjny</t>
  </si>
  <si>
    <t>NOPAT (EBIT - 19% TAX)</t>
  </si>
  <si>
    <t>ROCE (NOPAT/CAP.EMPL)</t>
  </si>
  <si>
    <t>Obrót [PLN/kontrakt]</t>
  </si>
  <si>
    <t>Koszty dodatkowe Inne</t>
  </si>
  <si>
    <t>zł/koszt jednorazowy</t>
  </si>
  <si>
    <t>Wskaźnik</t>
  </si>
  <si>
    <t>AFF</t>
  </si>
  <si>
    <t>CAAPHARSA</t>
  </si>
  <si>
    <t>MAQ</t>
  </si>
  <si>
    <t>OAS</t>
  </si>
  <si>
    <t>FAB</t>
  </si>
  <si>
    <t>FAV</t>
  </si>
  <si>
    <t>BAS</t>
  </si>
  <si>
    <t>PAP</t>
  </si>
  <si>
    <t>PPAC</t>
  </si>
  <si>
    <t>CAP</t>
  </si>
  <si>
    <t>IBC</t>
  </si>
  <si>
    <t>OBCAP</t>
  </si>
  <si>
    <t>FSAFC</t>
  </si>
  <si>
    <t>BR</t>
  </si>
  <si>
    <t>PADOE</t>
  </si>
  <si>
    <t>MOCEAOP</t>
  </si>
  <si>
    <t>EAEP</t>
  </si>
  <si>
    <t>WRT</t>
  </si>
  <si>
    <t>REAAAS</t>
  </si>
  <si>
    <t>HASWA</t>
  </si>
  <si>
    <t>HAAC</t>
  </si>
  <si>
    <t>PODSUMOWANIE SUEZ POLSKA</t>
  </si>
  <si>
    <t>PODSUMOWANIE SPÓŁKA</t>
  </si>
  <si>
    <t>SPÓŁKA</t>
  </si>
  <si>
    <t>rodzaj</t>
  </si>
  <si>
    <t>Lata Amortyzacji</t>
  </si>
  <si>
    <t>Jednostka miary</t>
  </si>
  <si>
    <t>Postać odpadu</t>
  </si>
  <si>
    <t>Rodzaj sprzętu (pojemniki i urządzenia) **sugerowany</t>
  </si>
  <si>
    <t>Rodzaj sprzętu  (pojemniki i urządzenia)</t>
  </si>
  <si>
    <t>Sposób zagospodarowania obecny/ oczekiwany</t>
  </si>
  <si>
    <t>Uwagi logistyczne dla Klienta (np. sposób transportu, inne)</t>
  </si>
  <si>
    <t>Cena netto płaci SUEZ</t>
  </si>
  <si>
    <t>Cena netto dla Klienta</t>
  </si>
  <si>
    <t>Zakładana partia transportowa (Mg)</t>
  </si>
  <si>
    <t>Transport (zł/kurs)</t>
  </si>
  <si>
    <t>Partia transportowa (Mg/kurs)</t>
  </si>
  <si>
    <t>Koszt transportu (zł/Mg)</t>
  </si>
  <si>
    <t>Transport  (zł/kurs)</t>
  </si>
  <si>
    <t>Dzierżawa (zł/m-c)</t>
  </si>
  <si>
    <t>Dzierżawa (zł/Mg)</t>
  </si>
  <si>
    <t>Koszty dodatkowe (zł/Mg)</t>
  </si>
  <si>
    <t>Koszt sprzętu (zł/Mg)</t>
  </si>
  <si>
    <t>Koszt ludzi (zł/Mg)</t>
  </si>
  <si>
    <t>Rentowność (%)</t>
  </si>
  <si>
    <t xml:space="preserve">Obrót (PLN/rok) </t>
  </si>
  <si>
    <t>Zysk (PLN/rok)</t>
  </si>
  <si>
    <t>SUEZ płaci Klientowi (PLN/rok)</t>
  </si>
  <si>
    <t>Klient płaci SUEZ (PLN/rok)</t>
  </si>
  <si>
    <t>Szacunkowa ilość odpadu (Mg/rok)</t>
  </si>
  <si>
    <t>Spółka płaci SUEZ Polska (PLN/rok)</t>
  </si>
  <si>
    <t>SUEZ Polska płaci Spółce (PLN/rok)</t>
  </si>
  <si>
    <t>Ilość pojemników/ sprzętu u klienta</t>
  </si>
  <si>
    <t>Własność pojemników/ sprzętu u klienta</t>
  </si>
  <si>
    <t>Ilość pojemników/ sprzętu na wymianę</t>
  </si>
  <si>
    <t>Własność pojemników/ sprzętu na wymianę</t>
  </si>
  <si>
    <t>Wyrównanie do wskaźnika</t>
  </si>
  <si>
    <t>Ilość sztuk</t>
  </si>
  <si>
    <t>Opis kosztu dodatkowego</t>
  </si>
  <si>
    <t>PODSUMOWANIE NA KONTRAKT</t>
  </si>
  <si>
    <t>PODSUMOWANIE NA 1 ROK</t>
  </si>
  <si>
    <t>Opracował kalkulację</t>
  </si>
  <si>
    <t>Nr zapytania</t>
  </si>
  <si>
    <t>Kod odpadu *w ofercie SUEZ</t>
  </si>
  <si>
    <t>Kod odpadu 
*u Klienta</t>
  </si>
  <si>
    <t xml:space="preserve">Adres Razem
</t>
  </si>
  <si>
    <t xml:space="preserve">Pojemniki Razem
</t>
  </si>
  <si>
    <t>Adres</t>
  </si>
  <si>
    <t>Rodzaj sprzętu w ofercie SUEZ (pojemniki i urządzenia)</t>
  </si>
  <si>
    <t>Min partia transportowa</t>
  </si>
  <si>
    <t>Rodzaj surowca</t>
  </si>
  <si>
    <t>Przychód z odsprzedaży Spółki</t>
  </si>
  <si>
    <t>Koszt zagospodarowania/usługi Spółki</t>
  </si>
  <si>
    <t>Szacunkowa ilość odpadu dla Spółki
(Mg/rok)</t>
  </si>
  <si>
    <t>Rodzaj odpadu Spółki</t>
  </si>
  <si>
    <t>Zysk SUEZ Razem [PLN/rok]</t>
  </si>
  <si>
    <t>Rentowność SUEZ Razem (%)</t>
  </si>
  <si>
    <t>SUEZ płaci Klientowi [PLN/kontrakt]</t>
  </si>
  <si>
    <t>Koszt wynagrodzenia</t>
  </si>
  <si>
    <t>Jednostka
 (kosztu wynagrodzenia)</t>
  </si>
  <si>
    <t>Koszty Inne
[zł/msc]</t>
  </si>
  <si>
    <t>Dodatkowe koszty pracownicze
[zł/msc]</t>
  </si>
  <si>
    <t>DODATKOWE KOSZTY PRACOWNICZE SUEZ</t>
  </si>
  <si>
    <t>Komentarz/Opis uzupełniający</t>
  </si>
  <si>
    <t>Ryczałt dla Klienta</t>
  </si>
  <si>
    <t>Koszt w przeliczeniu na:</t>
  </si>
  <si>
    <t>Wybrany strumień odpadu</t>
  </si>
  <si>
    <t xml:space="preserve"> Zatrudnienie przez:
[SUEZ/Agencja/Klient]</t>
  </si>
  <si>
    <t>Całkowita masa odpadów</t>
  </si>
  <si>
    <t>Premia</t>
  </si>
  <si>
    <t>ZUS SUEZ Polska</t>
  </si>
  <si>
    <t>ZUS  na jednego pracownika
[zł/m-c]</t>
  </si>
  <si>
    <t>Całkowity koszt jednego pracownika
[zł/m-c]
SUEZ</t>
  </si>
  <si>
    <t>Całkowity koszt jednego pracownika
[zł/m-c]
AGENCJA</t>
  </si>
  <si>
    <t>Ryczałt całkowity [zł/msc]</t>
  </si>
  <si>
    <t>Ryczałt jednostkowy [zł/msc]</t>
  </si>
  <si>
    <t xml:space="preserve">Szczegóły dot. sprzętu ( np. pojemność, nr seryjne) </t>
  </si>
  <si>
    <t>Jednostka ( koszt dodatkowy)</t>
  </si>
  <si>
    <t>Ilość cykli zakupu na kontrakt</t>
  </si>
  <si>
    <t>Komentarz, uwagi</t>
  </si>
  <si>
    <t>Koszt eksploatacyjny</t>
  </si>
  <si>
    <t>Wyróżnij obrót powyżej:</t>
  </si>
  <si>
    <t>Wyrównanie do wskaźnika Spółka</t>
  </si>
  <si>
    <t>Bilans Klienta</t>
  </si>
  <si>
    <t>Informacje Dodatkowe</t>
  </si>
  <si>
    <t>Ceny dla Klienta</t>
  </si>
  <si>
    <t>Ceny dla Suez Polska</t>
  </si>
  <si>
    <t>Bilans Spółki</t>
  </si>
  <si>
    <t>Bilans Suez Polska</t>
  </si>
  <si>
    <t>Wspólna marża</t>
  </si>
  <si>
    <t>Wspólne Podsumowanie</t>
  </si>
  <si>
    <t>Rodzaj naliczania</t>
  </si>
  <si>
    <t>Dzierżawa</t>
  </si>
  <si>
    <t>Oferta SUEZ dla Klienta - Sprzęt</t>
  </si>
  <si>
    <t>PODSUMOWANIE SUEZ POLSKA i SPÓŁKA</t>
  </si>
  <si>
    <t>Premia
[zł/m-c]</t>
  </si>
  <si>
    <t xml:space="preserve">Partia transportowa (Mg/kurs) </t>
  </si>
  <si>
    <t xml:space="preserve">Koszt transportu (zł/Mg) </t>
  </si>
  <si>
    <t>Koszty Spółki</t>
  </si>
  <si>
    <t>Koszt miesięczny CAŁKOWITY (zł/msc)</t>
  </si>
  <si>
    <t>Koszt roczny CAŁKOWITY
(zł/rok)</t>
  </si>
  <si>
    <t>Czas wynajmu/ Okres amortyzacji (lata)</t>
  </si>
  <si>
    <t>Całkowita wartość środków trwałych CAPEX 
netto (zł)</t>
  </si>
  <si>
    <t>Wartość amortyzacji na rok (zł)</t>
  </si>
  <si>
    <t>Wartość amortyzacji na kontrakt (zł)</t>
  </si>
  <si>
    <t>Koszt roczny w przeliczeniu na tonę (zł/Mg)</t>
  </si>
  <si>
    <t>L.Wyceny</t>
  </si>
  <si>
    <t>Akceptacja_S</t>
  </si>
  <si>
    <t>Obrót max (PLN/rok)</t>
  </si>
  <si>
    <t>Break_point_4</t>
  </si>
  <si>
    <t>Break_point_5</t>
  </si>
  <si>
    <t>Break_point_6</t>
  </si>
  <si>
    <t>Break_point_ap</t>
  </si>
  <si>
    <t>Break_point_ak</t>
  </si>
  <si>
    <t>Break_point_sgp</t>
  </si>
  <si>
    <t>Break_point_sgk</t>
  </si>
  <si>
    <t>Break_point_dkp</t>
  </si>
  <si>
    <t>Break_point_dkk</t>
  </si>
  <si>
    <t xml:space="preserve">Jednostka  </t>
  </si>
  <si>
    <t>Cennik</t>
  </si>
  <si>
    <t>Ilość pojemników/ sprzętu w ofercie SUEZ dla Klienta</t>
  </si>
  <si>
    <t>Własność pojemników/ sprzętu w ofercie SUEZ dla Klienta</t>
  </si>
  <si>
    <t>0,00</t>
  </si>
  <si>
    <t>Dariusz Bartosiński</t>
  </si>
  <si>
    <t>kbronkow</t>
  </si>
  <si>
    <t>Czy możliwa zmiana sposobu gromadzenia?</t>
  </si>
  <si>
    <t>aniemcza</t>
  </si>
  <si>
    <t>Koszt transportu pojemników/urządzeń
(zł/usługa/całość)</t>
  </si>
  <si>
    <t>Ilość godzin pracy w miesiącu
[rbh/msc/os.]</t>
  </si>
  <si>
    <t>Suma kosztów Spółki
(transport)</t>
  </si>
  <si>
    <t>Marża Spółki
(odpady)</t>
  </si>
  <si>
    <t>Marża Spółki
(transport)</t>
  </si>
  <si>
    <t>Rentowność Spółki
(odpady)
(%)</t>
  </si>
  <si>
    <t>Rentowność Spółki
(transport)
(%)</t>
  </si>
  <si>
    <t>Obrót Spółki 
(odpady)
 (PLN/rok)</t>
  </si>
  <si>
    <t>Obrót Spółki 
(transport)
 (PLN/rok)</t>
  </si>
  <si>
    <t>Zysk Spółki
(odpady)
 (PLN/rok)</t>
  </si>
  <si>
    <t>Zysk Spółki
(transport)
 (PLN/rok)</t>
  </si>
  <si>
    <t>Transport (zł/kurs)
spółka</t>
  </si>
  <si>
    <t>Partia transportowa (Mg/kurs) 
spółka</t>
  </si>
  <si>
    <t>Break_point_7</t>
  </si>
  <si>
    <t>NIE</t>
  </si>
  <si>
    <t>PODSUMOWANIE NA KONTRAKT SPÓŁKA</t>
  </si>
  <si>
    <t>PODSUMOWANIE NA KONTRAKT SUEZ POLSKA</t>
  </si>
  <si>
    <t>SPÓŁKA płaci SUEZ POLSKA [PLN/kontrakt]</t>
  </si>
  <si>
    <t>SUEZ POLSKA płaci SPÓŁCE [PLN/kontrakt]</t>
  </si>
  <si>
    <t>Bilans SUEZ POLSKA
[zł/kontrakt]</t>
  </si>
  <si>
    <t>Suma</t>
  </si>
  <si>
    <t>Koszt serwisu (zł/szt)</t>
  </si>
  <si>
    <t>one-off</t>
  </si>
  <si>
    <t>open-ended</t>
  </si>
  <si>
    <t>6 months</t>
  </si>
  <si>
    <t>12 months</t>
  </si>
  <si>
    <t>18 months</t>
  </si>
  <si>
    <t>24 months</t>
  </si>
  <si>
    <t>30 months</t>
  </si>
  <si>
    <t>36 months</t>
  </si>
  <si>
    <t>1 month</t>
  </si>
  <si>
    <t>2 months</t>
  </si>
  <si>
    <t>3 months</t>
  </si>
  <si>
    <t>4 months</t>
  </si>
  <si>
    <t>5 months</t>
  </si>
  <si>
    <t>7 months</t>
  </si>
  <si>
    <t>8 months</t>
  </si>
  <si>
    <t>9 months</t>
  </si>
  <si>
    <t>10 months</t>
  </si>
  <si>
    <t>11 months</t>
  </si>
  <si>
    <t>13 months</t>
  </si>
  <si>
    <t>14 months</t>
  </si>
  <si>
    <t>15 months</t>
  </si>
  <si>
    <t>16 months</t>
  </si>
  <si>
    <t>17 months</t>
  </si>
  <si>
    <t>19 months</t>
  </si>
  <si>
    <t>20 months</t>
  </si>
  <si>
    <t>21 months</t>
  </si>
  <si>
    <t>22 months</t>
  </si>
  <si>
    <t>23 months</t>
  </si>
  <si>
    <t>25 months</t>
  </si>
  <si>
    <t>26 months</t>
  </si>
  <si>
    <t>27 months</t>
  </si>
  <si>
    <t>28 months</t>
  </si>
  <si>
    <t>29 months</t>
  </si>
  <si>
    <t>31 months</t>
  </si>
  <si>
    <t>32 months</t>
  </si>
  <si>
    <t>33 months</t>
  </si>
  <si>
    <t>34 months</t>
  </si>
  <si>
    <t>35 months</t>
  </si>
  <si>
    <t>37 months</t>
  </si>
  <si>
    <t>38 months</t>
  </si>
  <si>
    <t>39 months</t>
  </si>
  <si>
    <t>40 months</t>
  </si>
  <si>
    <t>41 months</t>
  </si>
  <si>
    <t>42 months</t>
  </si>
  <si>
    <t>43 months</t>
  </si>
  <si>
    <t>44 months</t>
  </si>
  <si>
    <t>45 months</t>
  </si>
  <si>
    <t>46 months</t>
  </si>
  <si>
    <t>47 months</t>
  </si>
  <si>
    <t>48 months</t>
  </si>
  <si>
    <t>49 months</t>
  </si>
  <si>
    <t>50 months</t>
  </si>
  <si>
    <t>51 months</t>
  </si>
  <si>
    <t>52 months</t>
  </si>
  <si>
    <t>53 months</t>
  </si>
  <si>
    <t>54 months</t>
  </si>
  <si>
    <t>55 months</t>
  </si>
  <si>
    <t>56 months</t>
  </si>
  <si>
    <t>57 months</t>
  </si>
  <si>
    <t>58 months</t>
  </si>
  <si>
    <t>59 months</t>
  </si>
  <si>
    <t>60 months</t>
  </si>
  <si>
    <t>61 months</t>
  </si>
  <si>
    <t>62 months</t>
  </si>
  <si>
    <t>63 months</t>
  </si>
  <si>
    <t>64 months</t>
  </si>
  <si>
    <t>65 months</t>
  </si>
  <si>
    <t>66 months</t>
  </si>
  <si>
    <t>67 months</t>
  </si>
  <si>
    <t>68 months</t>
  </si>
  <si>
    <t>69 months</t>
  </si>
  <si>
    <t>70 months</t>
  </si>
  <si>
    <t>71 months</t>
  </si>
  <si>
    <t>72 months</t>
  </si>
  <si>
    <t>73 months</t>
  </si>
  <si>
    <t>74 months</t>
  </si>
  <si>
    <t>75 months</t>
  </si>
  <si>
    <t>76 months</t>
  </si>
  <si>
    <t>77 months</t>
  </si>
  <si>
    <t>78 months</t>
  </si>
  <si>
    <t>79 months</t>
  </si>
  <si>
    <t>80 months</t>
  </si>
  <si>
    <t>81 months</t>
  </si>
  <si>
    <t>82 months</t>
  </si>
  <si>
    <t>83 months</t>
  </si>
  <si>
    <t>84 months</t>
  </si>
  <si>
    <t>85 months</t>
  </si>
  <si>
    <t>86 months</t>
  </si>
  <si>
    <t>87 months</t>
  </si>
  <si>
    <t>88 months</t>
  </si>
  <si>
    <t>89 months</t>
  </si>
  <si>
    <t>90 months</t>
  </si>
  <si>
    <t>91 months</t>
  </si>
  <si>
    <t>92 months</t>
  </si>
  <si>
    <t>93 months</t>
  </si>
  <si>
    <t>94 months</t>
  </si>
  <si>
    <t>95 months</t>
  </si>
  <si>
    <t>96 months</t>
  </si>
  <si>
    <t>97 months</t>
  </si>
  <si>
    <t>98 months</t>
  </si>
  <si>
    <t>99 months</t>
  </si>
  <si>
    <t>100 months</t>
  </si>
  <si>
    <t>101 months</t>
  </si>
  <si>
    <t>102 months</t>
  </si>
  <si>
    <t>103 months</t>
  </si>
  <si>
    <t>104 months</t>
  </si>
  <si>
    <t>105 months</t>
  </si>
  <si>
    <t>106 months</t>
  </si>
  <si>
    <t>107 months</t>
  </si>
  <si>
    <t>108 months</t>
  </si>
  <si>
    <t>109 months</t>
  </si>
  <si>
    <t>110 months</t>
  </si>
  <si>
    <t>111 months</t>
  </si>
  <si>
    <t>112 months</t>
  </si>
  <si>
    <t>113 months</t>
  </si>
  <si>
    <t>114 months</t>
  </si>
  <si>
    <t>115 months</t>
  </si>
  <si>
    <t>116 months</t>
  </si>
  <si>
    <t>117 months</t>
  </si>
  <si>
    <t>118 months</t>
  </si>
  <si>
    <t>119 months</t>
  </si>
  <si>
    <t>120 months</t>
  </si>
  <si>
    <t>zł/ryczałt/msc</t>
  </si>
  <si>
    <t>Transport (zł/kurs) 
spółka</t>
  </si>
  <si>
    <t>Partia transportowa (Mg/kurs)
spółka</t>
  </si>
  <si>
    <t>Koszt transportu (zł/Mg)
spółka</t>
  </si>
  <si>
    <t>Koszt transportu do instalacji (zł/Mg)
spółka</t>
  </si>
  <si>
    <t>Suma kosztów Spółki
(odpady)</t>
  </si>
  <si>
    <t>Spółka</t>
  </si>
  <si>
    <t>Break_point_8</t>
  </si>
  <si>
    <t>Rentowność spółki odpady</t>
  </si>
  <si>
    <t>Rentowność spółki transport</t>
  </si>
  <si>
    <t>Oferta SUEZ dla Klienta - Pracownicy</t>
  </si>
  <si>
    <r>
      <t>Ilość pojemników/ sprzętu w ofercie SUEZ dla</t>
    </r>
    <r>
      <rPr>
        <u/>
        <sz val="12"/>
        <color theme="0"/>
        <rFont val="Arial"/>
        <family val="2"/>
        <charset val="238"/>
      </rPr>
      <t xml:space="preserve"> Klienta</t>
    </r>
  </si>
  <si>
    <r>
      <t>Własność pojemników/ sprzętu w ofercie SUEZ dla</t>
    </r>
    <r>
      <rPr>
        <u/>
        <sz val="12"/>
        <color theme="0"/>
        <rFont val="Arial"/>
        <family val="2"/>
        <charset val="238"/>
      </rPr>
      <t xml:space="preserve"> Klienta</t>
    </r>
  </si>
  <si>
    <r>
      <t xml:space="preserve">Ilość pojemników/ sprzętu </t>
    </r>
    <r>
      <rPr>
        <u/>
        <sz val="12"/>
        <color theme="0"/>
        <rFont val="Arial"/>
        <family val="2"/>
        <charset val="238"/>
      </rPr>
      <t>na wymianę</t>
    </r>
  </si>
  <si>
    <r>
      <t xml:space="preserve">Własność pojemników/ sprzętu </t>
    </r>
    <r>
      <rPr>
        <u/>
        <sz val="12"/>
        <color theme="0"/>
        <rFont val="Arial"/>
        <family val="2"/>
        <charset val="238"/>
      </rPr>
      <t>na wymianę</t>
    </r>
  </si>
  <si>
    <r>
      <t xml:space="preserve">Termin płatności odbiorcy/ podwykonawcy (dni) </t>
    </r>
    <r>
      <rPr>
        <sz val="12"/>
        <color rgb="FFFF0000"/>
        <rFont val="Arial"/>
        <family val="2"/>
        <charset val="238"/>
      </rPr>
      <t>INFORMACJA WEWNĘTRZNA SUEZ</t>
    </r>
  </si>
  <si>
    <r>
      <t xml:space="preserve">Komentarz uzupełniajacy </t>
    </r>
    <r>
      <rPr>
        <sz val="12"/>
        <color rgb="FFFF0000"/>
        <rFont val="Arial"/>
        <family val="2"/>
        <charset val="238"/>
      </rPr>
      <t>INFORMACJA WEWNĘTRZNA SUEZ</t>
    </r>
  </si>
  <si>
    <t>Nazwa Tabeli</t>
  </si>
  <si>
    <t>Kalkulacja</t>
  </si>
  <si>
    <t>Podsumowanie_S</t>
  </si>
  <si>
    <t>Podsumowanie_L</t>
  </si>
  <si>
    <t>Obsługa Sprzęt</t>
  </si>
  <si>
    <t>Obsługa Ludzie</t>
  </si>
  <si>
    <t>Obsługa razem</t>
  </si>
  <si>
    <t>waluta</t>
  </si>
  <si>
    <t>kod</t>
  </si>
  <si>
    <t>liczba jednostek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</si>
  <si>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</si>
  <si>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</si>
  <si>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</si>
  <si>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</si>
  <si>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</si>
  <si>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</si>
  <si>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</si>
  <si>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</si>
  <si>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</si>
  <si>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</si>
  <si>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</si>
  <si>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</si>
  <si>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Column1</t>
  </si>
  <si>
    <t>bat (Tajlandia)</t>
  </si>
  <si>
    <t>THB</t>
  </si>
  <si>
    <t>0,1071</t>
  </si>
  <si>
    <t>dolar amerykański</t>
  </si>
  <si>
    <t>USD</t>
  </si>
  <si>
    <t>3,3701</t>
  </si>
  <si>
    <t>dolar australijski</t>
  </si>
  <si>
    <t>AUD</t>
  </si>
  <si>
    <t>2,6572</t>
  </si>
  <si>
    <t>dolar Hongkongu</t>
  </si>
  <si>
    <t>HKD</t>
  </si>
  <si>
    <t>0,4309</t>
  </si>
  <si>
    <t>dolar kanadyjski</t>
  </si>
  <si>
    <t>CAD</t>
  </si>
  <si>
    <t>2,6860</t>
  </si>
  <si>
    <t>dolar nowozelandzki</t>
  </si>
  <si>
    <t>NZD</t>
  </si>
  <si>
    <t>2,4665</t>
  </si>
  <si>
    <t>dolar singapurski</t>
  </si>
  <si>
    <t>SGD</t>
  </si>
  <si>
    <t>2,5549</t>
  </si>
  <si>
    <t>euro</t>
  </si>
  <si>
    <t>EUR</t>
  </si>
  <si>
    <t>4,1683</t>
  </si>
  <si>
    <t>forint (Węgry)</t>
  </si>
  <si>
    <t>HUF</t>
  </si>
  <si>
    <t>1,3378</t>
  </si>
  <si>
    <t>frank szwajcarski</t>
  </si>
  <si>
    <t>CHF</t>
  </si>
  <si>
    <t>3,6115</t>
  </si>
  <si>
    <t>funt szterling</t>
  </si>
  <si>
    <t>GBP</t>
  </si>
  <si>
    <t>4,7201</t>
  </si>
  <si>
    <t>hrywna (Ukraina)</t>
  </si>
  <si>
    <t>UAH</t>
  </si>
  <si>
    <t>0,1242</t>
  </si>
  <si>
    <t>jen (Japonia)</t>
  </si>
  <si>
    <t>JPY</t>
  </si>
  <si>
    <t>3,1224</t>
  </si>
  <si>
    <t>korona czeska</t>
  </si>
  <si>
    <t>CZK</t>
  </si>
  <si>
    <t>0,1646</t>
  </si>
  <si>
    <t>korona duńska</t>
  </si>
  <si>
    <t>DKK</t>
  </si>
  <si>
    <t>0,5598</t>
  </si>
  <si>
    <t>korona islandzka</t>
  </si>
  <si>
    <t>ISK</t>
  </si>
  <si>
    <t>3,3415</t>
  </si>
  <si>
    <t>korona norweska</t>
  </si>
  <si>
    <t>NOK</t>
  </si>
  <si>
    <t>0,4307</t>
  </si>
  <si>
    <t>korona szwedzka</t>
  </si>
  <si>
    <t>SEK</t>
  </si>
  <si>
    <t>0,4196</t>
  </si>
  <si>
    <t>kuna (Chorwacja)</t>
  </si>
  <si>
    <t>HRK</t>
  </si>
  <si>
    <t>0,5603</t>
  </si>
  <si>
    <t>lej rumuński</t>
  </si>
  <si>
    <t>RON</t>
  </si>
  <si>
    <t>0,8953</t>
  </si>
  <si>
    <t>lew (Bułgaria)</t>
  </si>
  <si>
    <t>BGN</t>
  </si>
  <si>
    <t>2,1313</t>
  </si>
  <si>
    <t>lira turecka</t>
  </si>
  <si>
    <t>TRY</t>
  </si>
  <si>
    <t>0,8909</t>
  </si>
  <si>
    <t>nowy  izraelski szekel</t>
  </si>
  <si>
    <t>ILS</t>
  </si>
  <si>
    <t>0,9652</t>
  </si>
  <si>
    <t>peso  chilijskie</t>
  </si>
  <si>
    <t>CLP</t>
  </si>
  <si>
    <t>0,5647</t>
  </si>
  <si>
    <t>peso filipińskie</t>
  </si>
  <si>
    <t>PHP</t>
  </si>
  <si>
    <t>0,0650</t>
  </si>
  <si>
    <t>peso meksykańskie</t>
  </si>
  <si>
    <t>MXN</t>
  </si>
  <si>
    <t>0,1810</t>
  </si>
  <si>
    <t>rand (Republika Południowej Afryki)</t>
  </si>
  <si>
    <t>ZAR</t>
  </si>
  <si>
    <t>0,2853</t>
  </si>
  <si>
    <t>real (Brazylia)</t>
  </si>
  <si>
    <t>BRL</t>
  </si>
  <si>
    <t>1,0396</t>
  </si>
  <si>
    <t>ringgit (Malezja)</t>
  </si>
  <si>
    <t>MYR</t>
  </si>
  <si>
    <t>0,8617</t>
  </si>
  <si>
    <t>rubel rosyjski</t>
  </si>
  <si>
    <t>RUB</t>
  </si>
  <si>
    <t>0,0593</t>
  </si>
  <si>
    <t>rupia indonezyjska</t>
  </si>
  <si>
    <t>IDR</t>
  </si>
  <si>
    <t>2,4790</t>
  </si>
  <si>
    <t>rupia  indyjska</t>
  </si>
  <si>
    <t>INR</t>
  </si>
  <si>
    <t>5,2328</t>
  </si>
  <si>
    <t>won południowokoreański</t>
  </si>
  <si>
    <t>KRW</t>
  </si>
  <si>
    <t>0,3126</t>
  </si>
  <si>
    <t>yuan renminbi (Chiny)</t>
  </si>
  <si>
    <t>CNY</t>
  </si>
  <si>
    <t>0,5332</t>
  </si>
  <si>
    <t>SDR (MFW)</t>
  </si>
  <si>
    <t>XDR</t>
  </si>
  <si>
    <t>4,8956</t>
  </si>
  <si>
    <t>0,1092</t>
  </si>
  <si>
    <t>3,4158</t>
  </si>
  <si>
    <t>2,6494</t>
  </si>
  <si>
    <t>0,4356</t>
  </si>
  <si>
    <t>2,6425</t>
  </si>
  <si>
    <t>2,4777</t>
  </si>
  <si>
    <t>2,5968</t>
  </si>
  <si>
    <t>4,2101</t>
  </si>
  <si>
    <t>1,3481</t>
  </si>
  <si>
    <t>3,6062</t>
  </si>
  <si>
    <t>4,7661</t>
  </si>
  <si>
    <t>0,1299</t>
  </si>
  <si>
    <t>3,2236</t>
  </si>
  <si>
    <t>0,1656</t>
  </si>
  <si>
    <t>0,5652</t>
  </si>
  <si>
    <t>3,4289</t>
  </si>
  <si>
    <t>0,4391</t>
  </si>
  <si>
    <t>0,4142</t>
  </si>
  <si>
    <t>0,5660</t>
  </si>
  <si>
    <t>0,9032</t>
  </si>
  <si>
    <t>2,1526</t>
  </si>
  <si>
    <t>0,8776</t>
  </si>
  <si>
    <t>0,9850</t>
  </si>
  <si>
    <t>0,5657</t>
  </si>
  <si>
    <t>0,0655</t>
  </si>
  <si>
    <t>0,1834</t>
  </si>
  <si>
    <t>0,2879</t>
  </si>
  <si>
    <t>1,0420</t>
  </si>
  <si>
    <t>0,8751</t>
  </si>
  <si>
    <t>0,0598</t>
  </si>
  <si>
    <t>2,4820</t>
  </si>
  <si>
    <t>5,2501</t>
  </si>
  <si>
    <t>0,3186</t>
  </si>
  <si>
    <t>0,5403</t>
  </si>
  <si>
    <t>4,9603</t>
  </si>
  <si>
    <t>Podsumowanie Spółki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</si>
</sst>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\ _z_ł_-;\-* #,##0.00\ _z_ł_-;_-* &quot;-&quot;??\ _z_ł_-;_-@_-"/>
    <numFmt numFmtId="164" formatCode="#,##0.00_ ;\-#,##0.00\ "/>
    <numFmt numFmtId="165" formatCode="dd/mm/yy\ h:mm;@"/>
    <numFmt numFmtId="166" formatCode="_-* #,##0\ _z_ł_-;\-* #,##0\ _z_ł_-;_-* &quot;-&quot;??\ _z_ł_-;_-@_-"/>
  </numFmts>
  <fonts count="89">
    <font>
      <sz val="10"/>
      <name val="Arial"/>
      <charset val="238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b/>
      <sz val="8"/>
      <name val="Arial"/>
      <family val="2"/>
      <charset val="238"/>
    </font>
    <font>
      <sz val="8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1"/>
      <color theme="1"/>
      <name val="Czcionka tekstu podstawowego"/>
      <family val="2"/>
      <charset val="238"/>
    </font>
    <font>
      <sz val="9"/>
      <color indexed="81"/>
      <name val="Tahoma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9"/>
      <color indexed="81"/>
      <name val="Tahoma"/>
      <family val="2"/>
      <charset val="238"/>
    </font>
    <font>
      <sz val="8"/>
      <color theme="1"/>
      <name val="Calibri"/>
      <family val="2"/>
      <charset val="238"/>
      <scheme val="minor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8"/>
      <color theme="1"/>
      <name val="Calibri"/>
      <family val="2"/>
      <charset val="238"/>
      <scheme val="minor"/>
    </font>
    <font>
      <b/>
      <sz val="10"/>
      <color rgb="FF9ABD39"/>
      <name val="Arial"/>
      <family val="2"/>
      <charset val="238"/>
    </font>
    <font>
      <sz val="10"/>
      <color theme="1"/>
      <name val="Din pro"/>
      <charset val="238"/>
    </font>
    <font>
      <sz val="8"/>
      <name val="Din pro"/>
      <charset val="238"/>
    </font>
    <font>
      <sz val="10"/>
      <name val="Din pro"/>
      <charset val="238"/>
    </font>
    <font>
      <sz val="8"/>
      <color theme="1"/>
      <name val="Din pro"/>
      <charset val="238"/>
    </font>
    <font>
      <b/>
      <sz val="10"/>
      <name val="Din pro"/>
      <charset val="238"/>
    </font>
    <font>
      <sz val="10"/>
      <color rgb="FFFF0000"/>
      <name val="Din pro"/>
      <charset val="238"/>
    </font>
    <font>
      <b/>
      <sz val="18"/>
      <name val="Din pro"/>
      <charset val="238"/>
    </font>
    <font>
      <b/>
      <sz val="8"/>
      <color rgb="FFAADC14"/>
      <name val="Din pro"/>
      <charset val="238"/>
    </font>
    <font>
      <sz val="10"/>
      <color theme="1"/>
      <name val="Arial"/>
      <family val="2"/>
      <charset val="238"/>
    </font>
    <font>
      <b/>
      <sz val="10"/>
      <color rgb="FFC4DE51"/>
      <name val="Arial"/>
      <family val="2"/>
      <charset val="238"/>
    </font>
    <font>
      <strike/>
      <sz val="10"/>
      <name val="Din pro"/>
      <charset val="238"/>
    </font>
    <font>
      <sz val="8"/>
      <name val="Calibri"/>
      <family val="2"/>
      <charset val="238"/>
      <scheme val="minor"/>
    </font>
    <font>
      <sz val="10"/>
      <color rgb="FF000000"/>
      <name val="Arial"/>
      <family val="2"/>
      <charset val="238"/>
    </font>
    <font>
      <sz val="48"/>
      <color rgb="FFAADC14"/>
      <name val="Arial"/>
      <family val="2"/>
      <charset val="238"/>
    </font>
    <font>
      <b/>
      <sz val="10"/>
      <color theme="0"/>
      <name val="Din pro"/>
      <charset val="238"/>
    </font>
    <font>
      <sz val="10"/>
      <name val="DINPro"/>
      <family val="2"/>
      <charset val="238"/>
    </font>
    <font>
      <sz val="10"/>
      <color theme="0"/>
      <name val="DINPro"/>
      <family val="2"/>
      <charset val="238"/>
    </font>
    <font>
      <sz val="10"/>
      <name val="Din pro"/>
    </font>
    <font>
      <sz val="10"/>
      <name val="DINPro"/>
      <family val="2"/>
    </font>
    <font>
      <sz val="8"/>
      <color theme="0"/>
      <name val="Calibri"/>
      <family val="2"/>
      <charset val="238"/>
      <scheme val="minor"/>
    </font>
    <font>
      <b/>
      <sz val="10"/>
      <color theme="0"/>
      <name val="Arial"/>
      <family val="2"/>
      <charset val="238"/>
    </font>
    <font>
      <sz val="10"/>
      <color theme="1"/>
      <name val="DINPro"/>
      <family val="2"/>
    </font>
    <font>
      <sz val="10"/>
      <color theme="0"/>
      <name val="DINPro-Light"/>
      <family val="2"/>
    </font>
    <font>
      <sz val="10"/>
      <color rgb="FFFF0000"/>
      <name val="DINPro-Light"/>
      <family val="2"/>
    </font>
    <font>
      <sz val="10"/>
      <name val="DINPro-Light"/>
      <family val="2"/>
    </font>
    <font>
      <b/>
      <sz val="10"/>
      <color theme="1"/>
      <name val="DINPro-Light"/>
      <family val="2"/>
    </font>
    <font>
      <sz val="8"/>
      <name val="DINPro"/>
      <family val="2"/>
    </font>
    <font>
      <b/>
      <sz val="14"/>
      <color rgb="FFAADC14"/>
      <name val="DINPro"/>
      <family val="2"/>
    </font>
    <font>
      <b/>
      <sz val="10"/>
      <name val="DINPro-Light"/>
      <family val="2"/>
    </font>
    <font>
      <sz val="10"/>
      <color rgb="FFC4DE51"/>
      <name val="DINPro"/>
      <family val="2"/>
    </font>
    <font>
      <sz val="10"/>
      <color rgb="FFAADC14"/>
      <name val="DINPro"/>
      <family val="2"/>
      <charset val="238"/>
    </font>
    <font>
      <sz val="10"/>
      <color theme="1"/>
      <name val="DINPro"/>
      <family val="2"/>
      <charset val="238"/>
    </font>
    <font>
      <b/>
      <sz val="10"/>
      <name val="DINPro"/>
      <family val="2"/>
      <charset val="238"/>
    </font>
    <font>
      <b/>
      <sz val="10"/>
      <color theme="1"/>
      <name val="DINPro"/>
      <family val="2"/>
      <charset val="238"/>
    </font>
    <font>
      <sz val="12"/>
      <color theme="0"/>
      <name val="Arial"/>
      <family val="2"/>
      <charset val="238"/>
    </font>
    <font>
      <sz val="10"/>
      <color rgb="FFFF0000"/>
      <name val="Arial"/>
      <family val="2"/>
      <charset val="238"/>
    </font>
    <font>
      <sz val="12"/>
      <name val="Arial"/>
      <family val="2"/>
      <charset val="238"/>
    </font>
    <font>
      <b/>
      <sz val="12"/>
      <color rgb="FFFF0000"/>
      <name val="Arial"/>
      <family val="2"/>
      <charset val="238"/>
    </font>
    <font>
      <b/>
      <sz val="12"/>
      <color theme="1"/>
      <name val="Arial"/>
      <family val="2"/>
      <charset val="238"/>
    </font>
    <font>
      <b/>
      <sz val="12"/>
      <name val="Arial"/>
      <family val="2"/>
      <charset val="238"/>
    </font>
    <font>
      <b/>
      <sz val="12"/>
      <color rgb="FF030F40"/>
      <name val="Arial"/>
      <family val="2"/>
      <charset val="238"/>
    </font>
    <font>
      <sz val="12"/>
      <color theme="1"/>
      <name val="Arial"/>
      <family val="2"/>
      <charset val="238"/>
    </font>
    <font>
      <sz val="8"/>
      <color theme="0"/>
      <name val="Arial"/>
      <family val="2"/>
      <charset val="238"/>
    </font>
    <font>
      <sz val="8"/>
      <color rgb="FFFF0000"/>
      <name val="Arial"/>
      <family val="2"/>
      <charset val="238"/>
    </font>
    <font>
      <b/>
      <sz val="8"/>
      <color rgb="FFFF0000"/>
      <name val="Arial"/>
      <family val="2"/>
      <charset val="238"/>
    </font>
    <font>
      <sz val="10"/>
      <color theme="8" tint="-0.249977111117893"/>
      <name val="Arial"/>
      <family val="2"/>
      <charset val="238"/>
    </font>
    <font>
      <sz val="10"/>
      <color theme="5" tint="-0.249977111117893"/>
      <name val="Arial"/>
      <family val="2"/>
      <charset val="238"/>
    </font>
    <font>
      <b/>
      <sz val="8"/>
      <color rgb="FFC00000"/>
      <name val="Arial"/>
      <family val="2"/>
      <charset val="238"/>
    </font>
    <font>
      <sz val="9"/>
      <name val="Arial"/>
      <family val="2"/>
      <charset val="238"/>
    </font>
    <font>
      <b/>
      <sz val="14"/>
      <color theme="0"/>
      <name val="Arial"/>
      <family val="2"/>
      <charset val="238"/>
    </font>
    <font>
      <sz val="12"/>
      <color rgb="FFFF0000"/>
      <name val="Arial"/>
      <family val="2"/>
      <charset val="238"/>
    </font>
    <font>
      <sz val="12"/>
      <color rgb="FFAADC14"/>
      <name val="Arial"/>
      <family val="2"/>
      <charset val="238"/>
    </font>
    <font>
      <i/>
      <sz val="12"/>
      <name val="Arial"/>
      <family val="2"/>
      <charset val="238"/>
    </font>
    <font>
      <b/>
      <i/>
      <sz val="12"/>
      <color rgb="FFFF0000"/>
      <name val="Arial"/>
      <family val="2"/>
      <charset val="238"/>
    </font>
    <font>
      <b/>
      <i/>
      <sz val="12"/>
      <name val="Arial"/>
      <family val="2"/>
      <charset val="238"/>
    </font>
    <font>
      <b/>
      <sz val="12"/>
      <color rgb="FF051E56"/>
      <name val="Arial"/>
      <family val="2"/>
      <charset val="238"/>
    </font>
    <font>
      <u/>
      <sz val="12"/>
      <color theme="0"/>
      <name val="Arial"/>
      <family val="2"/>
      <charset val="238"/>
    </font>
    <font>
      <b/>
      <sz val="12"/>
      <color theme="0"/>
      <name val="Arial"/>
      <family val="2"/>
      <charset val="238"/>
    </font>
    <font>
      <b/>
      <i/>
      <sz val="12"/>
      <color theme="0"/>
      <name val="Arial"/>
      <family val="2"/>
      <charset val="238"/>
    </font>
    <font>
      <sz val="14"/>
      <color theme="0"/>
      <name val="Arial"/>
      <family val="2"/>
      <charset val="238"/>
    </font>
    <font>
      <sz val="11"/>
      <name val="Arial"/>
      <family val="2"/>
      <charset val="238"/>
    </font>
    <font>
      <sz val="10"/>
      <color theme="0"/>
      <name val="Arial"/>
      <family val="2"/>
      <charset val="238"/>
    </font>
    <font>
      <sz val="11"/>
      <color theme="0"/>
      <name val="Arial"/>
      <family val="2"/>
      <charset val="238"/>
    </font>
    <font>
      <sz val="11"/>
      <color theme="1"/>
      <name val="Arial"/>
      <family val="2"/>
      <charset val="238"/>
    </font>
    <font>
      <b/>
      <sz val="11"/>
      <color rgb="FFAADC14"/>
      <name val="Arial"/>
      <family val="2"/>
      <charset val="238"/>
    </font>
    <font>
      <sz val="11"/>
      <color rgb="FFAADC14"/>
      <name val="Arial"/>
      <family val="2"/>
      <charset val="238"/>
    </font>
    <font>
      <b/>
      <sz val="11"/>
      <name val="Arial"/>
      <family val="2"/>
      <charset val="238"/>
    </font>
    <font>
      <b/>
      <sz val="11"/>
      <color theme="1"/>
      <name val="Arial"/>
      <family val="2"/>
      <charset val="238"/>
    </font>
    <font>
      <b/>
      <sz val="11"/>
      <color theme="0"/>
      <name val="Arial"/>
      <family val="2"/>
      <charset val="238"/>
    </font>
    <font>
      <sz val="11"/>
      <color rgb="FFFF0000"/>
      <name val="Arial"/>
      <family val="2"/>
      <charset val="238"/>
    </font>
    <font>
      <b/>
      <sz val="28"/>
      <color rgb="FF051E56"/>
      <name val="Arial"/>
      <family val="2"/>
      <charset val="238"/>
    </font>
    <font>
      <i/>
      <sz val="11"/>
      <color theme="1"/>
      <name val="Arial"/>
      <family val="2"/>
      <charset val="238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202E52"/>
        <bgColor indexed="64"/>
      </patternFill>
    </fill>
    <fill>
      <patternFill patternType="solid">
        <fgColor rgb="FFD2D9E0"/>
        <bgColor indexed="64"/>
      </patternFill>
    </fill>
    <fill>
      <patternFill patternType="solid">
        <fgColor rgb="FFABAFBF"/>
        <bgColor indexed="64"/>
      </patternFill>
    </fill>
    <fill>
      <patternFill patternType="solid">
        <fgColor rgb="FF3D466C"/>
        <bgColor indexed="64"/>
      </patternFill>
    </fill>
    <fill>
      <patternFill patternType="solid">
        <fgColor rgb="FFE0E7C7"/>
        <bgColor indexed="64"/>
      </patternFill>
    </fill>
    <fill>
      <patternFill patternType="solid">
        <fgColor rgb="FF051E56"/>
        <bgColor indexed="64"/>
      </patternFill>
    </fill>
    <fill>
      <patternFill patternType="solid">
        <fgColor rgb="FFD2E28C"/>
        <bgColor indexed="64"/>
      </patternFill>
    </fill>
    <fill>
      <patternFill patternType="solid">
        <fgColor rgb="FFAADC1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51E56"/>
      </left>
      <right style="thin">
        <color rgb="FF051E56"/>
      </right>
      <top style="thin">
        <color rgb="FF051E56"/>
      </top>
      <bottom style="thin">
        <color rgb="FF051E56"/>
      </bottom>
      <diagonal/>
    </border>
    <border>
      <left style="thin">
        <color theme="0"/>
      </left>
      <right style="thin">
        <color rgb="FF051E56"/>
      </right>
      <top style="thin">
        <color theme="0"/>
      </top>
      <bottom/>
      <diagonal/>
    </border>
    <border>
      <left style="thin">
        <color rgb="FF051E56"/>
      </left>
      <right style="thin">
        <color theme="0"/>
      </right>
      <top style="thin">
        <color theme="0"/>
      </top>
      <bottom/>
      <diagonal/>
    </border>
    <border>
      <left style="thin">
        <color rgb="FF051E56"/>
      </left>
      <right style="thin">
        <color theme="0"/>
      </right>
      <top style="thin">
        <color rgb="FF051E5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051E56"/>
      </top>
      <bottom style="thin">
        <color theme="0"/>
      </bottom>
      <diagonal/>
    </border>
    <border>
      <left style="thin">
        <color theme="0"/>
      </left>
      <right style="thin">
        <color rgb="FF051E56"/>
      </right>
      <top style="thin">
        <color rgb="FF051E56"/>
      </top>
      <bottom style="thin">
        <color theme="0"/>
      </bottom>
      <diagonal/>
    </border>
    <border>
      <left style="thin">
        <color rgb="FF051E56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51E56"/>
      </right>
      <top/>
      <bottom style="thin">
        <color indexed="64"/>
      </bottom>
      <diagonal/>
    </border>
    <border>
      <left style="thin">
        <color rgb="FF051E56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51E56"/>
      </right>
      <top style="thin">
        <color indexed="64"/>
      </top>
      <bottom style="thin">
        <color indexed="64"/>
      </bottom>
      <diagonal/>
    </border>
    <border>
      <left style="thin">
        <color rgb="FF051E56"/>
      </left>
      <right style="thin">
        <color indexed="64"/>
      </right>
      <top style="thin">
        <color indexed="64"/>
      </top>
      <bottom style="thin">
        <color rgb="FF051E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51E56"/>
      </bottom>
      <diagonal/>
    </border>
    <border>
      <left style="thin">
        <color indexed="64"/>
      </left>
      <right style="thin">
        <color rgb="FF051E56"/>
      </right>
      <top style="thin">
        <color indexed="64"/>
      </top>
      <bottom style="thin">
        <color rgb="FF051E56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51E56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051E56"/>
      </right>
      <top style="thin">
        <color theme="0"/>
      </top>
      <bottom style="thin">
        <color theme="0"/>
      </bottom>
      <diagonal/>
    </border>
    <border>
      <left style="thin">
        <color rgb="FFAADC1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AADC14"/>
      </right>
      <top/>
      <bottom style="thin">
        <color theme="0"/>
      </bottom>
      <diagonal/>
    </border>
    <border>
      <left style="thin">
        <color theme="0"/>
      </left>
      <right/>
      <top style="thin">
        <color rgb="FFAADC14"/>
      </top>
      <bottom style="thin">
        <color theme="0"/>
      </bottom>
      <diagonal/>
    </border>
    <border>
      <left/>
      <right/>
      <top style="thin">
        <color rgb="FFAADC14"/>
      </top>
      <bottom style="thin">
        <color theme="0"/>
      </bottom>
      <diagonal/>
    </border>
    <border>
      <left/>
      <right style="thin">
        <color rgb="FFAADC14"/>
      </right>
      <top style="thin">
        <color rgb="FFAADC14"/>
      </top>
      <bottom style="thin">
        <color theme="0"/>
      </bottom>
      <diagonal/>
    </border>
  </borders>
  <cellStyleXfs count="11">
    <xf numFmtId="0" fontId="0" fillId="0" borderId="0"/>
    <xf numFmtId="0" fontId="5" fillId="0" borderId="0"/>
    <xf numFmtId="0" fontId="2" fillId="0" borderId="0"/>
    <xf numFmtId="9" fontId="6" fillId="0" borderId="0" applyFont="0" applyFill="0" applyBorder="0" applyAlignment="0" applyProtection="0"/>
    <xf numFmtId="0" fontId="7" fillId="0" borderId="0"/>
    <xf numFmtId="43" fontId="10" fillId="0" borderId="0" applyFont="0" applyFill="0" applyBorder="0" applyAlignment="0" applyProtection="0"/>
    <xf numFmtId="0" fontId="1" fillId="0" borderId="0"/>
    <xf numFmtId="0" fontId="16" fillId="7" borderId="29" applyNumberFormat="0" applyAlignment="0" applyProtection="0">
      <alignment horizontal="center" vertical="center" wrapText="1"/>
    </xf>
    <xf numFmtId="0" fontId="2" fillId="0" borderId="0"/>
    <xf numFmtId="0" fontId="2" fillId="0" borderId="0"/>
    <xf numFmtId="43" fontId="2" fillId="0" borderId="0" applyFont="0" applyFill="0" applyBorder="0" applyAlignment="0" applyProtection="0"/>
  </cellStyleXfs>
  <cellXfs count="712">
    <xf numFmtId="0" fontId="0" fillId="0" borderId="0" xfId="0"/>
    <xf numFmtId="49" fontId="0" fillId="0" borderId="0" xfId="0" applyNumberFormat="1"/>
    <xf numFmtId="0" fontId="0" fillId="0" borderId="0" xfId="0"/>
    <xf numFmtId="0" fontId="2" fillId="0" borderId="0" xfId="0" applyFont="1"/>
    <xf numFmtId="0" fontId="12" fillId="0" borderId="0" xfId="6" applyFont="1"/>
    <xf numFmtId="0" fontId="13" fillId="4" borderId="9" xfId="0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Border="1" applyAlignment="1">
      <alignment horizontal="left" wrapText="1"/>
    </xf>
    <xf numFmtId="0" fontId="12" fillId="0" borderId="0" xfId="0" applyFont="1" applyBorder="1"/>
    <xf numFmtId="0" fontId="13" fillId="4" borderId="10" xfId="0" applyFont="1" applyFill="1" applyBorder="1" applyAlignment="1">
      <alignment vertical="top" wrapText="1"/>
    </xf>
    <xf numFmtId="0" fontId="12" fillId="0" borderId="0" xfId="0" applyFont="1" applyBorder="1" applyAlignment="1">
      <alignment wrapText="1"/>
    </xf>
    <xf numFmtId="0" fontId="12" fillId="0" borderId="0" xfId="0" applyFont="1" applyBorder="1" applyAlignment="1">
      <alignment horizontal="left" vertical="center" wrapText="1"/>
    </xf>
    <xf numFmtId="0" fontId="12" fillId="0" borderId="0" xfId="0" applyFont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4" fillId="4" borderId="9" xfId="0" applyFont="1" applyFill="1" applyBorder="1" applyAlignment="1">
      <alignment vertical="top" wrapText="1"/>
    </xf>
    <xf numFmtId="0" fontId="14" fillId="4" borderId="10" xfId="0" applyFont="1" applyFill="1" applyBorder="1" applyAlignment="1">
      <alignment vertical="top" wrapText="1"/>
    </xf>
    <xf numFmtId="0" fontId="14" fillId="4" borderId="9" xfId="0" applyFont="1" applyFill="1" applyBorder="1" applyAlignment="1">
      <alignment horizontal="center" vertical="center" wrapText="1"/>
    </xf>
    <xf numFmtId="0" fontId="14" fillId="4" borderId="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center" wrapText="1"/>
    </xf>
    <xf numFmtId="0" fontId="12" fillId="2" borderId="13" xfId="0" applyFont="1" applyFill="1" applyBorder="1" applyAlignment="1">
      <alignment horizontal="left" vertical="center" wrapText="1"/>
    </xf>
    <xf numFmtId="0" fontId="12" fillId="2" borderId="14" xfId="0" applyFont="1" applyFill="1" applyBorder="1" applyAlignment="1">
      <alignment horizontal="left" vertical="center" wrapText="1"/>
    </xf>
    <xf numFmtId="0" fontId="12" fillId="2" borderId="15" xfId="0" applyFont="1" applyFill="1" applyBorder="1" applyAlignment="1">
      <alignment horizontal="left" vertical="center" wrapText="1"/>
    </xf>
    <xf numFmtId="0" fontId="12" fillId="2" borderId="0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12" fillId="0" borderId="0" xfId="0" applyFont="1" applyFill="1" applyBorder="1"/>
    <xf numFmtId="0" fontId="12" fillId="0" borderId="0" xfId="0" applyFont="1" applyFill="1"/>
    <xf numFmtId="0" fontId="12" fillId="2" borderId="16" xfId="0" applyFont="1" applyFill="1" applyBorder="1" applyAlignment="1">
      <alignment vertical="center" wrapText="1"/>
    </xf>
    <xf numFmtId="0" fontId="12" fillId="2" borderId="0" xfId="0" applyFont="1" applyFill="1" applyBorder="1" applyAlignment="1">
      <alignment horizontal="left" vertical="center" wrapText="1"/>
    </xf>
    <xf numFmtId="0" fontId="12" fillId="2" borderId="5" xfId="0" applyFont="1" applyFill="1" applyBorder="1" applyAlignment="1">
      <alignment horizontal="left" vertical="center" wrapText="1"/>
    </xf>
    <xf numFmtId="0" fontId="12" fillId="2" borderId="17" xfId="0" applyFont="1" applyFill="1" applyBorder="1" applyAlignment="1">
      <alignment horizontal="left" vertical="center" wrapText="1"/>
    </xf>
    <xf numFmtId="0" fontId="12" fillId="2" borderId="6" xfId="0" applyFont="1" applyFill="1" applyBorder="1" applyAlignment="1">
      <alignment horizontal="left" vertical="center" wrapText="1"/>
    </xf>
    <xf numFmtId="0" fontId="12" fillId="2" borderId="18" xfId="0" applyFont="1" applyFill="1" applyBorder="1" applyAlignment="1">
      <alignment horizontal="left" vertical="center" wrapText="1"/>
    </xf>
    <xf numFmtId="0" fontId="12" fillId="2" borderId="0" xfId="0" applyFont="1" applyFill="1" applyBorder="1" applyAlignment="1">
      <alignment wrapText="1"/>
    </xf>
    <xf numFmtId="0" fontId="12" fillId="2" borderId="19" xfId="0" applyFont="1" applyFill="1" applyBorder="1" applyAlignment="1">
      <alignment vertical="center" wrapText="1"/>
    </xf>
    <xf numFmtId="0" fontId="12" fillId="2" borderId="11" xfId="0" applyFont="1" applyFill="1" applyBorder="1" applyAlignment="1">
      <alignment horizontal="left" vertical="center" wrapText="1"/>
    </xf>
    <xf numFmtId="0" fontId="12" fillId="2" borderId="20" xfId="0" applyFont="1" applyFill="1" applyBorder="1" applyAlignment="1">
      <alignment horizontal="left" vertical="center" wrapText="1"/>
    </xf>
    <xf numFmtId="0" fontId="12" fillId="0" borderId="0" xfId="0" applyFont="1" applyFill="1" applyBorder="1" applyAlignment="1">
      <alignment horizontal="left" wrapText="1"/>
    </xf>
    <xf numFmtId="0" fontId="12" fillId="0" borderId="0" xfId="0" applyFont="1" applyFill="1" applyBorder="1" applyAlignment="1">
      <alignment wrapText="1"/>
    </xf>
    <xf numFmtId="0" fontId="0" fillId="0" borderId="0" xfId="0" applyFill="1" applyBorder="1"/>
    <xf numFmtId="0" fontId="12" fillId="2" borderId="17" xfId="0" applyFont="1" applyFill="1" applyBorder="1" applyAlignment="1">
      <alignment horizontal="left" wrapText="1"/>
    </xf>
    <xf numFmtId="0" fontId="12" fillId="2" borderId="0" xfId="0" applyFont="1" applyFill="1" applyBorder="1" applyAlignment="1">
      <alignment horizontal="left" wrapText="1"/>
    </xf>
    <xf numFmtId="0" fontId="12" fillId="2" borderId="6" xfId="0" applyFont="1" applyFill="1" applyBorder="1" applyAlignment="1">
      <alignment horizontal="left" wrapText="1"/>
    </xf>
    <xf numFmtId="0" fontId="12" fillId="2" borderId="5" xfId="0" applyFont="1" applyFill="1" applyBorder="1" applyAlignment="1">
      <alignment horizontal="left" wrapText="1"/>
    </xf>
    <xf numFmtId="0" fontId="0" fillId="0" borderId="0" xfId="0" applyBorder="1"/>
    <xf numFmtId="0" fontId="12" fillId="2" borderId="18" xfId="0" applyFont="1" applyFill="1" applyBorder="1" applyAlignment="1">
      <alignment horizontal="left" wrapText="1"/>
    </xf>
    <xf numFmtId="0" fontId="12" fillId="2" borderId="21" xfId="0" applyFont="1" applyFill="1" applyBorder="1" applyAlignment="1">
      <alignment horizontal="left" wrapText="1"/>
    </xf>
    <xf numFmtId="0" fontId="12" fillId="2" borderId="11" xfId="0" applyFont="1" applyFill="1" applyBorder="1" applyAlignment="1">
      <alignment horizontal="left" wrapText="1"/>
    </xf>
    <xf numFmtId="0" fontId="12" fillId="2" borderId="22" xfId="0" applyFont="1" applyFill="1" applyBorder="1" applyAlignment="1">
      <alignment horizontal="left" wrapText="1"/>
    </xf>
    <xf numFmtId="0" fontId="12" fillId="2" borderId="16" xfId="0" applyFont="1" applyFill="1" applyBorder="1" applyAlignment="1">
      <alignment wrapText="1"/>
    </xf>
    <xf numFmtId="0" fontId="12" fillId="2" borderId="19" xfId="0" applyFont="1" applyFill="1" applyBorder="1" applyAlignment="1">
      <alignment wrapText="1"/>
    </xf>
    <xf numFmtId="0" fontId="12" fillId="2" borderId="20" xfId="0" applyFont="1" applyFill="1" applyBorder="1" applyAlignment="1">
      <alignment horizontal="left" wrapText="1"/>
    </xf>
    <xf numFmtId="0" fontId="12" fillId="2" borderId="23" xfId="0" applyFont="1" applyFill="1" applyBorder="1" applyAlignment="1">
      <alignment wrapText="1"/>
    </xf>
    <xf numFmtId="0" fontId="12" fillId="2" borderId="24" xfId="0" applyFont="1" applyFill="1" applyBorder="1" applyAlignment="1">
      <alignment horizontal="left" wrapText="1"/>
    </xf>
    <xf numFmtId="0" fontId="12" fillId="2" borderId="25" xfId="0" applyFont="1" applyFill="1" applyBorder="1" applyAlignment="1">
      <alignment horizontal="left" wrapText="1"/>
    </xf>
    <xf numFmtId="0" fontId="12" fillId="2" borderId="14" xfId="0" applyFont="1" applyFill="1" applyBorder="1" applyAlignment="1">
      <alignment horizontal="left" wrapText="1"/>
    </xf>
    <xf numFmtId="0" fontId="12" fillId="2" borderId="15" xfId="0" applyFont="1" applyFill="1" applyBorder="1" applyAlignment="1">
      <alignment horizontal="left" wrapText="1"/>
    </xf>
    <xf numFmtId="0" fontId="12" fillId="5" borderId="26" xfId="6" applyFont="1" applyFill="1" applyBorder="1"/>
    <xf numFmtId="0" fontId="12" fillId="5" borderId="27" xfId="6" applyFont="1" applyFill="1" applyBorder="1"/>
    <xf numFmtId="0" fontId="15" fillId="0" borderId="0" xfId="6" applyFont="1"/>
    <xf numFmtId="0" fontId="4" fillId="0" borderId="1" xfId="0" applyFont="1" applyBorder="1"/>
    <xf numFmtId="0" fontId="3" fillId="0" borderId="1" xfId="0" applyFont="1" applyBorder="1"/>
    <xf numFmtId="0" fontId="4" fillId="0" borderId="1" xfId="0" quotePrefix="1" applyFont="1" applyBorder="1"/>
    <xf numFmtId="0" fontId="12" fillId="0" borderId="1" xfId="6" applyFont="1" applyBorder="1"/>
    <xf numFmtId="0" fontId="9" fillId="3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/>
    </xf>
    <xf numFmtId="0" fontId="18" fillId="2" borderId="0" xfId="0" applyFont="1" applyFill="1"/>
    <xf numFmtId="0" fontId="19" fillId="2" borderId="0" xfId="0" applyFont="1" applyFill="1"/>
    <xf numFmtId="10" fontId="18" fillId="2" borderId="0" xfId="0" applyNumberFormat="1" applyFont="1" applyFill="1"/>
    <xf numFmtId="10" fontId="19" fillId="2" borderId="0" xfId="0" applyNumberFormat="1" applyFont="1" applyFill="1"/>
    <xf numFmtId="0" fontId="19" fillId="0" borderId="0" xfId="0" applyFont="1"/>
    <xf numFmtId="0" fontId="19" fillId="0" borderId="1" xfId="0" applyFont="1" applyBorder="1"/>
    <xf numFmtId="0" fontId="18" fillId="2" borderId="0" xfId="2" applyFont="1" applyFill="1"/>
    <xf numFmtId="0" fontId="18" fillId="2" borderId="0" xfId="2" applyFont="1" applyFill="1" applyAlignment="1"/>
    <xf numFmtId="0" fontId="19" fillId="2" borderId="0" xfId="0" applyFont="1" applyFill="1" applyProtection="1"/>
    <xf numFmtId="0" fontId="19" fillId="2" borderId="0" xfId="0" applyFont="1" applyFill="1" applyProtection="1">
      <protection locked="0"/>
    </xf>
    <xf numFmtId="49" fontId="19" fillId="2" borderId="0" xfId="0" applyNumberFormat="1" applyFont="1" applyFill="1" applyProtection="1">
      <protection locked="0"/>
    </xf>
    <xf numFmtId="0" fontId="19" fillId="2" borderId="0" xfId="0" applyNumberFormat="1" applyFont="1" applyFill="1" applyProtection="1">
      <protection locked="0"/>
    </xf>
    <xf numFmtId="0" fontId="19" fillId="2" borderId="0" xfId="0" applyFont="1" applyFill="1" applyAlignment="1" applyProtection="1">
      <alignment wrapText="1"/>
      <protection locked="0"/>
    </xf>
    <xf numFmtId="0" fontId="20" fillId="2" borderId="0" xfId="4" applyFont="1" applyFill="1" applyProtection="1">
      <protection locked="0"/>
    </xf>
    <xf numFmtId="0" fontId="22" fillId="2" borderId="0" xfId="0" applyFont="1" applyFill="1" applyProtection="1">
      <protection locked="0"/>
    </xf>
    <xf numFmtId="10" fontId="19" fillId="2" borderId="0" xfId="0" applyNumberFormat="1" applyFont="1" applyFill="1" applyProtection="1">
      <protection locked="0"/>
    </xf>
    <xf numFmtId="0" fontId="19" fillId="2" borderId="0" xfId="0" applyFont="1" applyFill="1" applyAlignment="1" applyProtection="1">
      <alignment horizontal="center" vertical="center" wrapText="1"/>
      <protection locked="0"/>
    </xf>
    <xf numFmtId="0" fontId="21" fillId="2" borderId="0" xfId="0" applyFont="1" applyFill="1" applyProtection="1">
      <protection locked="0"/>
    </xf>
    <xf numFmtId="0" fontId="21" fillId="2" borderId="0" xfId="0" applyFont="1" applyFill="1" applyProtection="1"/>
    <xf numFmtId="0" fontId="21" fillId="2" borderId="0" xfId="0" applyFont="1" applyFill="1" applyAlignment="1" applyProtection="1">
      <alignment horizontal="center" vertical="center"/>
    </xf>
    <xf numFmtId="0" fontId="21" fillId="2" borderId="0" xfId="0" applyFont="1" applyFill="1" applyAlignment="1" applyProtection="1">
      <alignment horizontal="center" vertical="center"/>
      <protection locked="0"/>
    </xf>
    <xf numFmtId="2" fontId="21" fillId="2" borderId="0" xfId="0" applyNumberFormat="1" applyFont="1" applyFill="1" applyBorder="1" applyAlignment="1" applyProtection="1">
      <alignment horizontal="center" vertical="center" wrapText="1"/>
      <protection locked="0"/>
    </xf>
    <xf numFmtId="4" fontId="21" fillId="2" borderId="0" xfId="0" applyNumberFormat="1" applyFont="1" applyFill="1" applyBorder="1" applyAlignment="1" applyProtection="1">
      <alignment horizontal="center" vertical="center" wrapText="1"/>
      <protection locked="0"/>
    </xf>
    <xf numFmtId="49" fontId="21" fillId="2" borderId="0" xfId="0" applyNumberFormat="1" applyFont="1" applyFill="1" applyAlignment="1" applyProtection="1">
      <alignment horizontal="center" vertical="center"/>
      <protection locked="0"/>
    </xf>
    <xf numFmtId="0" fontId="21" fillId="2" borderId="0" xfId="0" applyNumberFormat="1" applyFont="1" applyFill="1" applyAlignment="1" applyProtection="1">
      <alignment horizontal="center" vertical="center"/>
      <protection locked="0"/>
    </xf>
    <xf numFmtId="0" fontId="21" fillId="2" borderId="0" xfId="0" applyFont="1" applyFill="1" applyAlignment="1" applyProtection="1">
      <alignment horizontal="center" vertical="center" wrapText="1"/>
      <protection locked="0"/>
    </xf>
    <xf numFmtId="0" fontId="21" fillId="2" borderId="0" xfId="0" applyFont="1" applyFill="1" applyBorder="1" applyAlignment="1" applyProtection="1">
      <alignment horizontal="center" vertical="center" wrapText="1"/>
      <protection locked="0"/>
    </xf>
    <xf numFmtId="0" fontId="17" fillId="2" borderId="0" xfId="4" applyFont="1" applyFill="1" applyProtection="1">
      <protection locked="0"/>
    </xf>
    <xf numFmtId="0" fontId="19" fillId="2" borderId="0" xfId="0" applyFont="1" applyFill="1" applyAlignment="1" applyProtection="1">
      <alignment horizontal="center" vertical="center"/>
      <protection locked="0"/>
    </xf>
    <xf numFmtId="0" fontId="19" fillId="2" borderId="0" xfId="0" applyFont="1" applyFill="1" applyAlignment="1" applyProtection="1">
      <alignment horizontal="center" vertical="center"/>
    </xf>
    <xf numFmtId="49" fontId="19" fillId="2" borderId="0" xfId="0" applyNumberFormat="1" applyFont="1" applyFill="1" applyAlignment="1" applyProtection="1">
      <alignment horizontal="center" vertical="center"/>
      <protection locked="0"/>
    </xf>
    <xf numFmtId="0" fontId="19" fillId="2" borderId="0" xfId="0" applyNumberFormat="1" applyFont="1" applyFill="1" applyAlignment="1" applyProtection="1">
      <alignment horizontal="center" vertical="center"/>
      <protection locked="0"/>
    </xf>
    <xf numFmtId="0" fontId="18" fillId="0" borderId="0" xfId="4" applyFont="1" applyBorder="1" applyAlignment="1">
      <alignment horizontal="left" wrapText="1"/>
    </xf>
    <xf numFmtId="0" fontId="18" fillId="0" borderId="0" xfId="4" applyFont="1" applyAlignment="1">
      <alignment horizontal="left"/>
    </xf>
    <xf numFmtId="0" fontId="18" fillId="0" borderId="0" xfId="0" applyFont="1"/>
    <xf numFmtId="0" fontId="18" fillId="0" borderId="0" xfId="4" applyFont="1" applyFill="1" applyBorder="1" applyAlignment="1">
      <alignment horizontal="left" wrapText="1"/>
    </xf>
    <xf numFmtId="0" fontId="18" fillId="0" borderId="0" xfId="4" applyFont="1" applyFill="1" applyAlignment="1">
      <alignment horizontal="left"/>
    </xf>
    <xf numFmtId="0" fontId="18" fillId="0" borderId="0" xfId="0" applyFont="1" applyAlignment="1">
      <alignment wrapText="1"/>
    </xf>
    <xf numFmtId="0" fontId="19" fillId="0" borderId="0" xfId="0" applyFont="1" applyAlignment="1">
      <alignment wrapText="1"/>
    </xf>
    <xf numFmtId="0" fontId="19" fillId="0" borderId="0" xfId="0" applyFont="1" applyAlignment="1">
      <alignment horizontal="center" vertical="center"/>
    </xf>
    <xf numFmtId="0" fontId="26" fillId="10" borderId="32" xfId="9" applyNumberFormat="1" applyFont="1" applyFill="1" applyBorder="1" applyAlignment="1">
      <alignment horizontal="center" vertical="center" wrapText="1"/>
    </xf>
    <xf numFmtId="14" fontId="26" fillId="10" borderId="32" xfId="9" applyNumberFormat="1" applyFont="1" applyFill="1" applyBorder="1" applyAlignment="1">
      <alignment horizontal="center" vertical="center" wrapText="1"/>
    </xf>
    <xf numFmtId="0" fontId="24" fillId="10" borderId="32" xfId="0" applyFont="1" applyFill="1" applyBorder="1" applyAlignment="1" applyProtection="1">
      <alignment horizontal="center" vertical="center" wrapText="1"/>
      <protection locked="0"/>
    </xf>
    <xf numFmtId="0" fontId="19" fillId="12" borderId="0" xfId="0" applyFont="1" applyFill="1"/>
    <xf numFmtId="0" fontId="18" fillId="12" borderId="0" xfId="4" applyFont="1" applyFill="1"/>
    <xf numFmtId="0" fontId="23" fillId="12" borderId="0" xfId="4" applyFont="1" applyFill="1" applyAlignment="1">
      <alignment vertical="center"/>
    </xf>
    <xf numFmtId="0" fontId="18" fillId="12" borderId="0" xfId="4" applyFont="1" applyFill="1" applyAlignment="1">
      <alignment horizontal="left"/>
    </xf>
    <xf numFmtId="0" fontId="19" fillId="0" borderId="0" xfId="0" applyFont="1" applyFill="1"/>
    <xf numFmtId="0" fontId="27" fillId="0" borderId="0" xfId="0" applyFont="1"/>
    <xf numFmtId="0" fontId="19" fillId="0" borderId="12" xfId="0" applyFont="1" applyBorder="1"/>
    <xf numFmtId="0" fontId="19" fillId="0" borderId="40" xfId="0" applyFont="1" applyBorder="1"/>
    <xf numFmtId="0" fontId="19" fillId="0" borderId="16" xfId="0" applyFont="1" applyBorder="1"/>
    <xf numFmtId="0" fontId="19" fillId="0" borderId="21" xfId="0" applyFont="1" applyBorder="1"/>
    <xf numFmtId="0" fontId="19" fillId="0" borderId="19" xfId="0" applyFont="1" applyBorder="1"/>
    <xf numFmtId="0" fontId="19" fillId="0" borderId="20" xfId="0" applyFont="1" applyBorder="1"/>
    <xf numFmtId="0" fontId="27" fillId="0" borderId="12" xfId="0" applyFont="1" applyBorder="1"/>
    <xf numFmtId="0" fontId="27" fillId="0" borderId="40" xfId="0" applyFont="1" applyBorder="1"/>
    <xf numFmtId="0" fontId="27" fillId="0" borderId="19" xfId="0" applyFont="1" applyBorder="1"/>
    <xf numFmtId="0" fontId="27" fillId="0" borderId="20" xfId="0" applyFont="1" applyBorder="1"/>
    <xf numFmtId="0" fontId="27" fillId="0" borderId="16" xfId="0" applyFont="1" applyBorder="1"/>
    <xf numFmtId="0" fontId="27" fillId="0" borderId="21" xfId="0" applyFont="1" applyBorder="1"/>
    <xf numFmtId="0" fontId="27" fillId="0" borderId="23" xfId="0" applyFont="1" applyBorder="1"/>
    <xf numFmtId="0" fontId="27" fillId="0" borderId="25" xfId="0" applyFont="1" applyBorder="1"/>
    <xf numFmtId="0" fontId="21" fillId="0" borderId="1" xfId="0" applyFont="1" applyBorder="1"/>
    <xf numFmtId="0" fontId="2" fillId="2" borderId="0" xfId="0" applyFont="1" applyFill="1"/>
    <xf numFmtId="0" fontId="0" fillId="5" borderId="0" xfId="0" applyFill="1"/>
    <xf numFmtId="0" fontId="32" fillId="2" borderId="0" xfId="0" applyFont="1" applyFill="1" applyAlignment="1">
      <alignment horizontal="center" vertical="center"/>
    </xf>
    <xf numFmtId="0" fontId="24" fillId="10" borderId="41" xfId="0" applyFont="1" applyFill="1" applyBorder="1" applyAlignment="1" applyProtection="1">
      <alignment horizontal="center" vertical="center" wrapText="1"/>
      <protection locked="0"/>
    </xf>
    <xf numFmtId="0" fontId="19" fillId="0" borderId="0" xfId="0" applyFont="1" applyBorder="1"/>
    <xf numFmtId="0" fontId="19" fillId="0" borderId="0" xfId="0" applyFont="1" applyFill="1" applyBorder="1"/>
    <xf numFmtId="0" fontId="19" fillId="2" borderId="0" xfId="0" applyFont="1" applyFill="1" applyAlignment="1">
      <alignment vertical="top"/>
    </xf>
    <xf numFmtId="0" fontId="19" fillId="2" borderId="0" xfId="0" applyFont="1" applyFill="1" applyAlignment="1">
      <alignment vertical="center"/>
    </xf>
    <xf numFmtId="0" fontId="14" fillId="4" borderId="9" xfId="0" applyFont="1" applyFill="1" applyBorder="1" applyAlignment="1">
      <alignment vertical="top"/>
    </xf>
    <xf numFmtId="0" fontId="14" fillId="4" borderId="10" xfId="0" applyFont="1" applyFill="1" applyBorder="1" applyAlignment="1">
      <alignment vertical="top"/>
    </xf>
    <xf numFmtId="0" fontId="12" fillId="2" borderId="17" xfId="0" applyFont="1" applyFill="1" applyBorder="1" applyAlignment="1">
      <alignment horizontal="left"/>
    </xf>
    <xf numFmtId="0" fontId="12" fillId="2" borderId="5" xfId="0" applyFont="1" applyFill="1" applyBorder="1" applyAlignment="1">
      <alignment horizontal="left"/>
    </xf>
    <xf numFmtId="0" fontId="12" fillId="2" borderId="11" xfId="0" applyFont="1" applyFill="1" applyBorder="1" applyAlignment="1">
      <alignment horizontal="left"/>
    </xf>
    <xf numFmtId="0" fontId="12" fillId="2" borderId="19" xfId="0" applyFont="1" applyFill="1" applyBorder="1" applyAlignment="1"/>
    <xf numFmtId="0" fontId="12" fillId="2" borderId="20" xfId="0" applyFont="1" applyFill="1" applyBorder="1" applyAlignment="1">
      <alignment horizontal="left"/>
    </xf>
    <xf numFmtId="0" fontId="12" fillId="2" borderId="14" xfId="0" applyFont="1" applyFill="1" applyBorder="1" applyAlignment="1">
      <alignment horizontal="left"/>
    </xf>
    <xf numFmtId="0" fontId="12" fillId="2" borderId="15" xfId="0" applyFont="1" applyFill="1" applyBorder="1" applyAlignment="1">
      <alignment horizontal="left"/>
    </xf>
    <xf numFmtId="0" fontId="12" fillId="0" borderId="0" xfId="0" applyFont="1" applyBorder="1" applyAlignment="1"/>
    <xf numFmtId="0" fontId="12" fillId="0" borderId="0" xfId="0" applyFont="1" applyBorder="1" applyAlignment="1">
      <alignment horizontal="left"/>
    </xf>
    <xf numFmtId="0" fontId="12" fillId="2" borderId="1" xfId="0" applyFont="1" applyFill="1" applyBorder="1" applyAlignment="1"/>
    <xf numFmtId="0" fontId="12" fillId="3" borderId="1" xfId="0" applyFont="1" applyFill="1" applyBorder="1" applyAlignment="1">
      <alignment vertical="center"/>
    </xf>
    <xf numFmtId="0" fontId="12" fillId="0" borderId="1" xfId="0" applyFont="1" applyFill="1" applyBorder="1" applyAlignment="1">
      <alignment vertical="center"/>
    </xf>
    <xf numFmtId="0" fontId="12" fillId="3" borderId="17" xfId="0" applyFont="1" applyFill="1" applyBorder="1" applyAlignment="1">
      <alignment horizontal="left"/>
    </xf>
    <xf numFmtId="0" fontId="12" fillId="3" borderId="0" xfId="0" applyFont="1" applyFill="1" applyBorder="1" applyAlignment="1">
      <alignment horizontal="left"/>
    </xf>
    <xf numFmtId="0" fontId="12" fillId="3" borderId="6" xfId="0" applyFont="1" applyFill="1" applyBorder="1" applyAlignment="1">
      <alignment horizontal="left"/>
    </xf>
    <xf numFmtId="0" fontId="12" fillId="3" borderId="15" xfId="0" applyFont="1" applyFill="1" applyBorder="1" applyAlignment="1">
      <alignment horizontal="left"/>
    </xf>
    <xf numFmtId="0" fontId="12" fillId="3" borderId="20" xfId="0" applyFont="1" applyFill="1" applyBorder="1" applyAlignment="1">
      <alignment horizontal="left"/>
    </xf>
    <xf numFmtId="0" fontId="12" fillId="3" borderId="18" xfId="0" applyFont="1" applyFill="1" applyBorder="1" applyAlignment="1">
      <alignment horizontal="left"/>
    </xf>
    <xf numFmtId="0" fontId="12" fillId="3" borderId="1" xfId="0" applyFont="1" applyFill="1" applyBorder="1" applyAlignment="1"/>
    <xf numFmtId="0" fontId="12" fillId="3" borderId="16" xfId="0" applyFont="1" applyFill="1" applyBorder="1" applyAlignment="1"/>
    <xf numFmtId="0" fontId="12" fillId="3" borderId="19" xfId="0" applyFont="1" applyFill="1" applyBorder="1" applyAlignment="1"/>
    <xf numFmtId="0" fontId="12" fillId="3" borderId="5" xfId="0" applyFont="1" applyFill="1" applyBorder="1" applyAlignment="1">
      <alignment horizontal="left"/>
    </xf>
    <xf numFmtId="0" fontId="12" fillId="3" borderId="11" xfId="0" applyFont="1" applyFill="1" applyBorder="1" applyAlignment="1">
      <alignment horizontal="left"/>
    </xf>
    <xf numFmtId="0" fontId="12" fillId="3" borderId="23" xfId="0" applyFont="1" applyFill="1" applyBorder="1" applyAlignment="1"/>
    <xf numFmtId="0" fontId="12" fillId="3" borderId="24" xfId="0" applyFont="1" applyFill="1" applyBorder="1" applyAlignment="1">
      <alignment horizontal="left"/>
    </xf>
    <xf numFmtId="0" fontId="12" fillId="3" borderId="25" xfId="0" applyFont="1" applyFill="1" applyBorder="1" applyAlignment="1">
      <alignment horizontal="left"/>
    </xf>
    <xf numFmtId="0" fontId="12" fillId="3" borderId="14" xfId="0" applyFont="1" applyFill="1" applyBorder="1" applyAlignment="1">
      <alignment horizontal="left"/>
    </xf>
    <xf numFmtId="0" fontId="12" fillId="6" borderId="12" xfId="0" applyFont="1" applyFill="1" applyBorder="1" applyAlignment="1">
      <alignment vertical="center"/>
    </xf>
    <xf numFmtId="0" fontId="12" fillId="6" borderId="13" xfId="0" applyFont="1" applyFill="1" applyBorder="1" applyAlignment="1">
      <alignment horizontal="left" vertical="center"/>
    </xf>
    <xf numFmtId="0" fontId="12" fillId="6" borderId="14" xfId="0" applyFont="1" applyFill="1" applyBorder="1" applyAlignment="1">
      <alignment horizontal="left" vertical="center"/>
    </xf>
    <xf numFmtId="0" fontId="12" fillId="6" borderId="15" xfId="0" applyFont="1" applyFill="1" applyBorder="1" applyAlignment="1">
      <alignment horizontal="left" vertical="center"/>
    </xf>
    <xf numFmtId="0" fontId="12" fillId="6" borderId="16" xfId="0" applyFont="1" applyFill="1" applyBorder="1" applyAlignment="1">
      <alignment vertical="center"/>
    </xf>
    <xf numFmtId="0" fontId="12" fillId="6" borderId="0" xfId="0" applyFont="1" applyFill="1" applyBorder="1" applyAlignment="1">
      <alignment horizontal="left" vertical="center"/>
    </xf>
    <xf numFmtId="0" fontId="12" fillId="6" borderId="5" xfId="0" applyFont="1" applyFill="1" applyBorder="1" applyAlignment="1">
      <alignment horizontal="left" vertical="center"/>
    </xf>
    <xf numFmtId="0" fontId="12" fillId="6" borderId="17" xfId="0" applyFont="1" applyFill="1" applyBorder="1" applyAlignment="1">
      <alignment horizontal="left" vertical="center"/>
    </xf>
    <xf numFmtId="0" fontId="12" fillId="6" borderId="6" xfId="0" applyFont="1" applyFill="1" applyBorder="1" applyAlignment="1">
      <alignment horizontal="left" vertical="center"/>
    </xf>
    <xf numFmtId="0" fontId="12" fillId="6" borderId="18" xfId="0" applyFont="1" applyFill="1" applyBorder="1" applyAlignment="1">
      <alignment horizontal="left" vertical="center"/>
    </xf>
    <xf numFmtId="0" fontId="12" fillId="6" borderId="19" xfId="0" applyFont="1" applyFill="1" applyBorder="1" applyAlignment="1">
      <alignment vertical="center"/>
    </xf>
    <xf numFmtId="0" fontId="12" fillId="6" borderId="11" xfId="0" applyFont="1" applyFill="1" applyBorder="1" applyAlignment="1">
      <alignment horizontal="left" vertical="center"/>
    </xf>
    <xf numFmtId="0" fontId="12" fillId="6" borderId="20" xfId="0" applyFont="1" applyFill="1" applyBorder="1" applyAlignment="1">
      <alignment horizontal="left" vertical="center"/>
    </xf>
    <xf numFmtId="0" fontId="36" fillId="4" borderId="16" xfId="0" applyFont="1" applyFill="1" applyBorder="1" applyAlignment="1">
      <alignment vertical="center"/>
    </xf>
    <xf numFmtId="0" fontId="36" fillId="4" borderId="0" xfId="0" applyFont="1" applyFill="1" applyBorder="1" applyAlignment="1">
      <alignment horizontal="left" vertical="center"/>
    </xf>
    <xf numFmtId="0" fontId="36" fillId="4" borderId="14" xfId="0" applyFont="1" applyFill="1" applyBorder="1" applyAlignment="1">
      <alignment horizontal="left" vertical="center"/>
    </xf>
    <xf numFmtId="0" fontId="36" fillId="4" borderId="15" xfId="0" applyFont="1" applyFill="1" applyBorder="1" applyAlignment="1">
      <alignment horizontal="left" vertical="center"/>
    </xf>
    <xf numFmtId="0" fontId="36" fillId="4" borderId="6" xfId="0" applyFont="1" applyFill="1" applyBorder="1" applyAlignment="1">
      <alignment horizontal="left" vertical="center"/>
    </xf>
    <xf numFmtId="0" fontId="36" fillId="4" borderId="18" xfId="0" applyFont="1" applyFill="1" applyBorder="1" applyAlignment="1">
      <alignment horizontal="left" vertical="center"/>
    </xf>
    <xf numFmtId="0" fontId="36" fillId="4" borderId="5" xfId="0" applyFont="1" applyFill="1" applyBorder="1" applyAlignment="1">
      <alignment horizontal="left" vertical="center"/>
    </xf>
    <xf numFmtId="0" fontId="36" fillId="4" borderId="17" xfId="0" applyFont="1" applyFill="1" applyBorder="1" applyAlignment="1">
      <alignment horizontal="left" vertical="center"/>
    </xf>
    <xf numFmtId="0" fontId="36" fillId="4" borderId="17" xfId="0" applyFont="1" applyFill="1" applyBorder="1" applyAlignment="1">
      <alignment horizontal="left"/>
    </xf>
    <xf numFmtId="0" fontId="36" fillId="4" borderId="0" xfId="0" applyFont="1" applyFill="1" applyBorder="1" applyAlignment="1">
      <alignment horizontal="left"/>
    </xf>
    <xf numFmtId="0" fontId="36" fillId="4" borderId="6" xfId="0" applyFont="1" applyFill="1" applyBorder="1" applyAlignment="1">
      <alignment horizontal="left"/>
    </xf>
    <xf numFmtId="0" fontId="36" fillId="4" borderId="43" xfId="0" applyFont="1" applyFill="1" applyBorder="1" applyAlignment="1">
      <alignment horizontal="left"/>
    </xf>
    <xf numFmtId="0" fontId="36" fillId="4" borderId="12" xfId="0" applyFont="1" applyFill="1" applyBorder="1" applyAlignment="1">
      <alignment horizontal="left"/>
    </xf>
    <xf numFmtId="0" fontId="36" fillId="4" borderId="26" xfId="0" applyFont="1" applyFill="1" applyBorder="1" applyAlignment="1">
      <alignment horizontal="left"/>
    </xf>
    <xf numFmtId="0" fontId="36" fillId="4" borderId="15" xfId="0" applyFont="1" applyFill="1" applyBorder="1" applyAlignment="1">
      <alignment horizontal="left"/>
    </xf>
    <xf numFmtId="0" fontId="36" fillId="4" borderId="16" xfId="0" applyFont="1" applyFill="1" applyBorder="1" applyAlignment="1">
      <alignment horizontal="left"/>
    </xf>
    <xf numFmtId="0" fontId="36" fillId="4" borderId="27" xfId="0" applyFont="1" applyFill="1" applyBorder="1" applyAlignment="1">
      <alignment horizontal="left"/>
    </xf>
    <xf numFmtId="0" fontId="36" fillId="4" borderId="44" xfId="0" applyFont="1" applyFill="1" applyBorder="1" applyAlignment="1">
      <alignment horizontal="left"/>
    </xf>
    <xf numFmtId="0" fontId="36" fillId="4" borderId="45" xfId="0" applyFont="1" applyFill="1" applyBorder="1" applyAlignment="1">
      <alignment horizontal="left"/>
    </xf>
    <xf numFmtId="0" fontId="36" fillId="4" borderId="19" xfId="0" applyFont="1" applyFill="1" applyBorder="1" applyAlignment="1">
      <alignment horizontal="left"/>
    </xf>
    <xf numFmtId="0" fontId="36" fillId="4" borderId="46" xfId="0" applyFont="1" applyFill="1" applyBorder="1" applyAlignment="1">
      <alignment horizontal="left"/>
    </xf>
    <xf numFmtId="0" fontId="36" fillId="4" borderId="20" xfId="0" applyFont="1" applyFill="1" applyBorder="1" applyAlignment="1">
      <alignment horizontal="left"/>
    </xf>
    <xf numFmtId="0" fontId="36" fillId="4" borderId="47" xfId="0" applyFont="1" applyFill="1" applyBorder="1" applyAlignment="1">
      <alignment horizontal="left"/>
    </xf>
    <xf numFmtId="0" fontId="36" fillId="4" borderId="18" xfId="0" applyFont="1" applyFill="1" applyBorder="1" applyAlignment="1">
      <alignment horizontal="left"/>
    </xf>
    <xf numFmtId="0" fontId="36" fillId="4" borderId="40" xfId="0" applyFont="1" applyFill="1" applyBorder="1" applyAlignment="1">
      <alignment horizontal="left"/>
    </xf>
    <xf numFmtId="0" fontId="36" fillId="4" borderId="21" xfId="0" applyFont="1" applyFill="1" applyBorder="1" applyAlignment="1">
      <alignment horizontal="left"/>
    </xf>
    <xf numFmtId="0" fontId="36" fillId="4" borderId="19" xfId="0" applyFont="1" applyFill="1" applyBorder="1" applyAlignment="1">
      <alignment vertical="center"/>
    </xf>
    <xf numFmtId="0" fontId="36" fillId="4" borderId="22" xfId="0" applyFont="1" applyFill="1" applyBorder="1" applyAlignment="1">
      <alignment horizontal="left"/>
    </xf>
    <xf numFmtId="0" fontId="28" fillId="3" borderId="12" xfId="0" applyFont="1" applyFill="1" applyBorder="1" applyAlignment="1">
      <alignment horizontal="left"/>
    </xf>
    <xf numFmtId="0" fontId="28" fillId="3" borderId="26" xfId="0" applyFont="1" applyFill="1" applyBorder="1" applyAlignment="1">
      <alignment horizontal="left"/>
    </xf>
    <xf numFmtId="0" fontId="28" fillId="3" borderId="15" xfId="0" applyFont="1" applyFill="1" applyBorder="1" applyAlignment="1">
      <alignment horizontal="left"/>
    </xf>
    <xf numFmtId="0" fontId="28" fillId="3" borderId="16" xfId="0" applyFont="1" applyFill="1" applyBorder="1" applyAlignment="1">
      <alignment horizontal="left"/>
    </xf>
    <xf numFmtId="0" fontId="28" fillId="3" borderId="27" xfId="0" applyFont="1" applyFill="1" applyBorder="1" applyAlignment="1">
      <alignment horizontal="left"/>
    </xf>
    <xf numFmtId="0" fontId="28" fillId="3" borderId="17" xfId="0" applyFont="1" applyFill="1" applyBorder="1" applyAlignment="1">
      <alignment horizontal="left"/>
    </xf>
    <xf numFmtId="0" fontId="28" fillId="3" borderId="44" xfId="0" applyFont="1" applyFill="1" applyBorder="1" applyAlignment="1">
      <alignment horizontal="left"/>
    </xf>
    <xf numFmtId="0" fontId="28" fillId="3" borderId="45" xfId="0" applyFont="1" applyFill="1" applyBorder="1" applyAlignment="1">
      <alignment horizontal="left"/>
    </xf>
    <xf numFmtId="0" fontId="28" fillId="3" borderId="19" xfId="0" applyFont="1" applyFill="1" applyBorder="1" applyAlignment="1">
      <alignment horizontal="left"/>
    </xf>
    <xf numFmtId="0" fontId="28" fillId="3" borderId="46" xfId="0" applyFont="1" applyFill="1" applyBorder="1" applyAlignment="1">
      <alignment horizontal="left"/>
    </xf>
    <xf numFmtId="0" fontId="28" fillId="3" borderId="20" xfId="0" applyFont="1" applyFill="1" applyBorder="1" applyAlignment="1">
      <alignment horizontal="left"/>
    </xf>
    <xf numFmtId="0" fontId="28" fillId="3" borderId="18" xfId="0" applyFont="1" applyFill="1" applyBorder="1" applyAlignment="1">
      <alignment horizontal="left"/>
    </xf>
    <xf numFmtId="0" fontId="12" fillId="17" borderId="16" xfId="0" applyFont="1" applyFill="1" applyBorder="1" applyAlignment="1"/>
    <xf numFmtId="0" fontId="12" fillId="17" borderId="0" xfId="0" applyFont="1" applyFill="1" applyBorder="1" applyAlignment="1">
      <alignment horizontal="left"/>
    </xf>
    <xf numFmtId="0" fontId="12" fillId="17" borderId="18" xfId="0" applyFont="1" applyFill="1" applyBorder="1" applyAlignment="1">
      <alignment horizontal="left"/>
    </xf>
    <xf numFmtId="0" fontId="12" fillId="17" borderId="17" xfId="0" applyFont="1" applyFill="1" applyBorder="1" applyAlignment="1">
      <alignment horizontal="left"/>
    </xf>
    <xf numFmtId="0" fontId="12" fillId="17" borderId="6" xfId="0" applyFont="1" applyFill="1" applyBorder="1" applyAlignment="1">
      <alignment horizontal="left"/>
    </xf>
    <xf numFmtId="0" fontId="12" fillId="17" borderId="5" xfId="0" applyFont="1" applyFill="1" applyBorder="1" applyAlignment="1">
      <alignment horizontal="left"/>
    </xf>
    <xf numFmtId="0" fontId="12" fillId="17" borderId="19" xfId="0" applyFont="1" applyFill="1" applyBorder="1" applyAlignment="1"/>
    <xf numFmtId="0" fontId="12" fillId="17" borderId="11" xfId="0" applyFont="1" applyFill="1" applyBorder="1" applyAlignment="1">
      <alignment horizontal="left"/>
    </xf>
    <xf numFmtId="0" fontId="12" fillId="17" borderId="20" xfId="0" applyFont="1" applyFill="1" applyBorder="1" applyAlignment="1">
      <alignment horizontal="left"/>
    </xf>
    <xf numFmtId="0" fontId="12" fillId="14" borderId="16" xfId="0" applyFont="1" applyFill="1" applyBorder="1" applyAlignment="1"/>
    <xf numFmtId="0" fontId="12" fillId="14" borderId="0" xfId="0" applyFont="1" applyFill="1" applyBorder="1" applyAlignment="1">
      <alignment horizontal="left"/>
    </xf>
    <xf numFmtId="0" fontId="12" fillId="14" borderId="5" xfId="0" applyFont="1" applyFill="1" applyBorder="1" applyAlignment="1">
      <alignment horizontal="left"/>
    </xf>
    <xf numFmtId="0" fontId="12" fillId="14" borderId="17" xfId="0" applyFont="1" applyFill="1" applyBorder="1" applyAlignment="1">
      <alignment horizontal="left"/>
    </xf>
    <xf numFmtId="0" fontId="12" fillId="14" borderId="6" xfId="0" applyFont="1" applyFill="1" applyBorder="1" applyAlignment="1">
      <alignment horizontal="left"/>
    </xf>
    <xf numFmtId="0" fontId="31" fillId="10" borderId="32" xfId="0" applyFont="1" applyFill="1" applyBorder="1" applyAlignment="1">
      <alignment horizontal="center" vertical="center" wrapText="1"/>
    </xf>
    <xf numFmtId="43" fontId="19" fillId="2" borderId="0" xfId="0" applyNumberFormat="1" applyFont="1" applyFill="1" applyProtection="1">
      <protection locked="0"/>
    </xf>
    <xf numFmtId="2" fontId="19" fillId="2" borderId="0" xfId="0" applyNumberFormat="1" applyFont="1" applyFill="1" applyProtection="1">
      <protection locked="0"/>
    </xf>
    <xf numFmtId="2" fontId="22" fillId="2" borderId="0" xfId="0" applyNumberFormat="1" applyFont="1" applyFill="1" applyProtection="1">
      <protection locked="0"/>
    </xf>
    <xf numFmtId="2" fontId="19" fillId="2" borderId="0" xfId="0" applyNumberFormat="1" applyFont="1" applyFill="1" applyAlignment="1" applyProtection="1">
      <alignment horizontal="center" vertical="center"/>
      <protection locked="0"/>
    </xf>
    <xf numFmtId="0" fontId="37" fillId="10" borderId="32" xfId="9" applyNumberFormat="1" applyFont="1" applyFill="1" applyBorder="1" applyAlignment="1">
      <alignment horizontal="center" vertical="center" wrapText="1"/>
    </xf>
    <xf numFmtId="0" fontId="31" fillId="10" borderId="32" xfId="0" applyNumberFormat="1" applyFont="1" applyFill="1" applyBorder="1" applyAlignment="1">
      <alignment horizontal="center" vertical="center" wrapText="1"/>
    </xf>
    <xf numFmtId="0" fontId="34" fillId="2" borderId="0" xfId="0" applyFont="1" applyFill="1" applyAlignment="1">
      <alignment wrapText="1"/>
    </xf>
    <xf numFmtId="0" fontId="43" fillId="2" borderId="0" xfId="0" applyFont="1" applyFill="1"/>
    <xf numFmtId="0" fontId="35" fillId="2" borderId="0" xfId="0" applyFont="1" applyFill="1" applyAlignment="1">
      <alignment horizontal="center" vertical="center"/>
    </xf>
    <xf numFmtId="0" fontId="35" fillId="2" borderId="0" xfId="0" applyFont="1" applyFill="1"/>
    <xf numFmtId="0" fontId="32" fillId="2" borderId="0" xfId="0" applyFont="1" applyFill="1"/>
    <xf numFmtId="0" fontId="43" fillId="2" borderId="0" xfId="0" applyFont="1" applyFill="1" applyAlignment="1">
      <alignment horizontal="center" vertical="center"/>
    </xf>
    <xf numFmtId="0" fontId="43" fillId="2" borderId="0" xfId="0" applyFont="1" applyFill="1" applyAlignment="1">
      <alignment horizontal="center" vertical="center" wrapText="1"/>
    </xf>
    <xf numFmtId="0" fontId="43" fillId="2" borderId="0" xfId="0" applyFont="1" applyFill="1" applyBorder="1" applyAlignment="1">
      <alignment horizontal="center" vertical="center" wrapText="1"/>
    </xf>
    <xf numFmtId="14" fontId="43" fillId="2" borderId="0" xfId="0" applyNumberFormat="1" applyFont="1" applyFill="1" applyBorder="1" applyAlignment="1">
      <alignment horizontal="center" vertical="center" wrapText="1"/>
    </xf>
    <xf numFmtId="0" fontId="35" fillId="2" borderId="0" xfId="0" applyFont="1" applyFill="1" applyAlignment="1">
      <alignment horizontal="center" vertical="center" wrapText="1"/>
    </xf>
    <xf numFmtId="0" fontId="41" fillId="2" borderId="0" xfId="0" applyFont="1" applyFill="1" applyAlignment="1">
      <alignment horizontal="center" vertical="center"/>
    </xf>
    <xf numFmtId="0" fontId="41" fillId="2" borderId="0" xfId="0" applyFont="1" applyFill="1" applyAlignment="1">
      <alignment horizontal="center" vertical="center" wrapText="1"/>
    </xf>
    <xf numFmtId="0" fontId="41" fillId="2" borderId="0" xfId="0" applyFont="1" applyFill="1"/>
    <xf numFmtId="0" fontId="39" fillId="2" borderId="0" xfId="0" applyFont="1" applyFill="1" applyBorder="1" applyAlignment="1">
      <alignment horizontal="center" vertical="center"/>
    </xf>
    <xf numFmtId="0" fontId="45" fillId="2" borderId="0" xfId="0" applyFont="1" applyFill="1" applyBorder="1" applyAlignment="1">
      <alignment horizontal="center" vertical="center"/>
    </xf>
    <xf numFmtId="164" fontId="40" fillId="2" borderId="0" xfId="5" applyNumberFormat="1" applyFont="1" applyFill="1" applyAlignment="1">
      <alignment horizontal="center" vertical="center"/>
    </xf>
    <xf numFmtId="10" fontId="42" fillId="2" borderId="0" xfId="3" applyNumberFormat="1" applyFont="1" applyFill="1" applyBorder="1" applyAlignment="1">
      <alignment horizontal="center" vertical="center"/>
    </xf>
    <xf numFmtId="0" fontId="32" fillId="2" borderId="0" xfId="0" applyFont="1" applyFill="1" applyBorder="1" applyAlignment="1">
      <alignment horizontal="center" vertical="center"/>
    </xf>
    <xf numFmtId="0" fontId="33" fillId="10" borderId="31" xfId="0" applyFont="1" applyFill="1" applyBorder="1" applyAlignment="1" applyProtection="1">
      <alignment horizontal="center" vertical="center" wrapText="1"/>
      <protection locked="0"/>
    </xf>
    <xf numFmtId="0" fontId="47" fillId="10" borderId="31" xfId="0" applyFont="1" applyFill="1" applyBorder="1" applyAlignment="1" applyProtection="1">
      <alignment horizontal="center" vertical="center" wrapText="1"/>
      <protection locked="0"/>
    </xf>
    <xf numFmtId="43" fontId="48" fillId="0" borderId="3" xfId="10" applyFont="1" applyFill="1" applyBorder="1" applyAlignment="1">
      <alignment horizontal="center"/>
    </xf>
    <xf numFmtId="10" fontId="48" fillId="0" borderId="3" xfId="3" applyNumberFormat="1" applyFont="1" applyFill="1" applyBorder="1" applyAlignment="1">
      <alignment horizontal="center"/>
    </xf>
    <xf numFmtId="43" fontId="48" fillId="0" borderId="1" xfId="10" applyFont="1" applyFill="1" applyBorder="1" applyAlignment="1">
      <alignment horizontal="center"/>
    </xf>
    <xf numFmtId="10" fontId="48" fillId="0" borderId="1" xfId="3" applyNumberFormat="1" applyFont="1" applyFill="1" applyBorder="1" applyAlignment="1">
      <alignment horizontal="center"/>
    </xf>
    <xf numFmtId="43" fontId="50" fillId="15" borderId="1" xfId="10" applyFont="1" applyFill="1" applyBorder="1" applyAlignment="1">
      <alignment horizontal="center"/>
    </xf>
    <xf numFmtId="9" fontId="50" fillId="15" borderId="1" xfId="3" applyFont="1" applyFill="1" applyBorder="1" applyAlignment="1">
      <alignment horizontal="center"/>
    </xf>
    <xf numFmtId="43" fontId="34" fillId="2" borderId="0" xfId="0" applyNumberFormat="1" applyFont="1" applyFill="1" applyAlignment="1">
      <alignment wrapText="1"/>
    </xf>
    <xf numFmtId="0" fontId="24" fillId="10" borderId="0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/>
    <xf numFmtId="0" fontId="47" fillId="10" borderId="49" xfId="0" applyFont="1" applyFill="1" applyBorder="1" applyAlignment="1" applyProtection="1">
      <alignment horizontal="center" vertical="center" wrapText="1"/>
      <protection locked="0"/>
    </xf>
    <xf numFmtId="0" fontId="33" fillId="10" borderId="50" xfId="0" applyFont="1" applyFill="1" applyBorder="1" applyAlignment="1" applyProtection="1">
      <alignment horizontal="center" vertical="center" wrapText="1"/>
      <protection locked="0"/>
    </xf>
    <xf numFmtId="0" fontId="48" fillId="0" borderId="54" xfId="0" applyFont="1" applyFill="1" applyBorder="1" applyAlignment="1">
      <alignment horizontal="right" vertical="center"/>
    </xf>
    <xf numFmtId="43" fontId="48" fillId="0" borderId="55" xfId="10" applyFont="1" applyFill="1" applyBorder="1" applyAlignment="1">
      <alignment horizontal="center"/>
    </xf>
    <xf numFmtId="0" fontId="48" fillId="0" borderId="56" xfId="0" applyFont="1" applyFill="1" applyBorder="1" applyAlignment="1">
      <alignment horizontal="right" vertical="center"/>
    </xf>
    <xf numFmtId="43" fontId="48" fillId="0" borderId="57" xfId="10" applyFont="1" applyFill="1" applyBorder="1" applyAlignment="1">
      <alignment horizontal="center"/>
    </xf>
    <xf numFmtId="0" fontId="49" fillId="15" borderId="56" xfId="0" applyFont="1" applyFill="1" applyBorder="1" applyAlignment="1">
      <alignment horizontal="left"/>
    </xf>
    <xf numFmtId="43" fontId="50" fillId="15" borderId="57" xfId="10" applyFont="1" applyFill="1" applyBorder="1" applyAlignment="1">
      <alignment horizontal="center"/>
    </xf>
    <xf numFmtId="0" fontId="49" fillId="16" borderId="58" xfId="0" applyNumberFormat="1" applyFont="1" applyFill="1" applyBorder="1" applyAlignment="1" applyProtection="1"/>
    <xf numFmtId="43" fontId="50" fillId="16" borderId="59" xfId="0" applyNumberFormat="1" applyFont="1" applyFill="1" applyBorder="1" applyAlignment="1">
      <alignment horizontal="center"/>
    </xf>
    <xf numFmtId="9" fontId="50" fillId="16" borderId="59" xfId="0" applyNumberFormat="1" applyFont="1" applyFill="1" applyBorder="1" applyAlignment="1">
      <alignment horizontal="center"/>
    </xf>
    <xf numFmtId="43" fontId="50" fillId="16" borderId="60" xfId="0" applyNumberFormat="1" applyFont="1" applyFill="1" applyBorder="1" applyAlignment="1">
      <alignment horizontal="center"/>
    </xf>
    <xf numFmtId="0" fontId="2" fillId="2" borderId="0" xfId="0" applyFont="1" applyFill="1" applyProtection="1">
      <protection locked="0"/>
    </xf>
    <xf numFmtId="10" fontId="2" fillId="2" borderId="0" xfId="0" applyNumberFormat="1" applyFont="1" applyFill="1" applyProtection="1">
      <protection locked="0"/>
    </xf>
    <xf numFmtId="0" fontId="51" fillId="2" borderId="32" xfId="0" applyFont="1" applyFill="1" applyBorder="1" applyAlignment="1" applyProtection="1">
      <alignment horizontal="center" vertical="center" wrapText="1"/>
      <protection locked="0"/>
    </xf>
    <xf numFmtId="0" fontId="51" fillId="0" borderId="32" xfId="0" applyFont="1" applyFill="1" applyBorder="1" applyAlignment="1" applyProtection="1">
      <alignment horizontal="center" vertical="center" wrapText="1"/>
      <protection locked="0"/>
    </xf>
    <xf numFmtId="9" fontId="51" fillId="0" borderId="32" xfId="3" applyFont="1" applyFill="1" applyBorder="1" applyAlignment="1" applyProtection="1">
      <alignment horizontal="center" vertical="center" wrapText="1"/>
      <protection locked="0"/>
    </xf>
    <xf numFmtId="0" fontId="51" fillId="2" borderId="32" xfId="4" applyFont="1" applyFill="1" applyBorder="1" applyAlignment="1" applyProtection="1">
      <alignment horizontal="left" vertical="center" wrapText="1"/>
      <protection locked="0"/>
    </xf>
    <xf numFmtId="0" fontId="51" fillId="10" borderId="32" xfId="0" applyFont="1" applyFill="1" applyBorder="1" applyAlignment="1">
      <alignment horizontal="center" vertical="center" wrapText="1"/>
    </xf>
    <xf numFmtId="10" fontId="51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53" fillId="2" borderId="32" xfId="0" applyFont="1" applyFill="1" applyBorder="1" applyProtection="1">
      <protection locked="0"/>
    </xf>
    <xf numFmtId="43" fontId="53" fillId="0" borderId="3" xfId="5" applyFont="1" applyFill="1" applyBorder="1" applyAlignment="1" applyProtection="1">
      <alignment horizontal="center" vertical="center" wrapText="1"/>
      <protection locked="0"/>
    </xf>
    <xf numFmtId="43" fontId="54" fillId="8" borderId="3" xfId="5" applyFont="1" applyFill="1" applyBorder="1" applyAlignment="1" applyProtection="1">
      <alignment horizontal="center" vertical="center" wrapText="1"/>
      <protection locked="0"/>
    </xf>
    <xf numFmtId="43" fontId="55" fillId="8" borderId="3" xfId="5" applyFont="1" applyFill="1" applyBorder="1" applyAlignment="1" applyProtection="1">
      <alignment horizontal="center" vertical="center" wrapText="1"/>
      <protection locked="0"/>
    </xf>
    <xf numFmtId="43" fontId="53" fillId="2" borderId="3" xfId="5" applyFont="1" applyFill="1" applyBorder="1" applyAlignment="1" applyProtection="1">
      <alignment horizontal="center" vertical="center" wrapText="1"/>
      <protection locked="0"/>
    </xf>
    <xf numFmtId="43" fontId="54" fillId="11" borderId="3" xfId="5" applyFont="1" applyFill="1" applyBorder="1" applyAlignment="1">
      <alignment horizontal="center" vertical="center" wrapText="1"/>
    </xf>
    <xf numFmtId="43" fontId="55" fillId="11" borderId="3" xfId="5" applyFont="1" applyFill="1" applyBorder="1" applyAlignment="1">
      <alignment horizontal="center" vertical="center" wrapText="1"/>
    </xf>
    <xf numFmtId="10" fontId="53" fillId="2" borderId="3" xfId="3" applyNumberFormat="1" applyFont="1" applyFill="1" applyBorder="1" applyAlignment="1" applyProtection="1">
      <alignment horizontal="center" vertical="center" wrapText="1"/>
      <protection locked="0"/>
    </xf>
    <xf numFmtId="43" fontId="53" fillId="0" borderId="3" xfId="5" applyFont="1" applyBorder="1" applyAlignment="1" applyProtection="1">
      <alignment horizontal="center" vertical="center" wrapText="1"/>
      <protection locked="0"/>
    </xf>
    <xf numFmtId="43" fontId="56" fillId="0" borderId="3" xfId="5" applyNumberFormat="1" applyFont="1" applyFill="1" applyBorder="1" applyAlignment="1" applyProtection="1">
      <alignment horizontal="center" vertical="center" wrapText="1"/>
      <protection locked="0"/>
    </xf>
    <xf numFmtId="43" fontId="53" fillId="0" borderId="3" xfId="5" applyNumberFormat="1" applyFont="1" applyFill="1" applyBorder="1" applyAlignment="1" applyProtection="1">
      <alignment horizontal="center" vertical="center" wrapText="1"/>
      <protection locked="0"/>
    </xf>
    <xf numFmtId="43" fontId="56" fillId="0" borderId="3" xfId="5" applyFont="1" applyFill="1" applyBorder="1" applyAlignment="1" applyProtection="1">
      <alignment horizontal="center" vertical="center" wrapText="1"/>
      <protection locked="0"/>
    </xf>
    <xf numFmtId="43" fontId="54" fillId="13" borderId="3" xfId="5" quotePrefix="1" applyNumberFormat="1" applyFont="1" applyFill="1" applyBorder="1" applyAlignment="1" applyProtection="1">
      <alignment horizontal="center" vertical="center" wrapText="1"/>
      <protection locked="0"/>
    </xf>
    <xf numFmtId="43" fontId="57" fillId="13" borderId="3" xfId="5" applyNumberFormat="1" applyFont="1" applyFill="1" applyBorder="1" applyAlignment="1" applyProtection="1">
      <alignment horizontal="center" vertical="center" wrapText="1"/>
      <protection locked="0"/>
    </xf>
    <xf numFmtId="10" fontId="53" fillId="0" borderId="3" xfId="3" applyNumberFormat="1" applyFont="1" applyFill="1" applyBorder="1" applyAlignment="1" applyProtection="1">
      <alignment horizontal="right" vertical="center" wrapText="1"/>
      <protection locked="0"/>
    </xf>
    <xf numFmtId="43" fontId="53" fillId="2" borderId="3" xfId="5" applyFont="1" applyFill="1" applyBorder="1" applyAlignment="1" applyProtection="1">
      <alignment horizontal="right" vertical="center" wrapText="1"/>
      <protection locked="0"/>
    </xf>
    <xf numFmtId="43" fontId="53" fillId="0" borderId="3" xfId="5" applyFont="1" applyFill="1" applyBorder="1" applyAlignment="1" applyProtection="1">
      <alignment horizontal="right" vertical="center" wrapText="1"/>
      <protection locked="0"/>
    </xf>
    <xf numFmtId="10" fontId="51" fillId="2" borderId="3" xfId="3" applyNumberFormat="1" applyFont="1" applyFill="1" applyBorder="1" applyAlignment="1" applyProtection="1">
      <alignment horizontal="center" vertical="center" wrapText="1"/>
      <protection locked="0"/>
    </xf>
    <xf numFmtId="43" fontId="51" fillId="2" borderId="3" xfId="5" applyFont="1" applyFill="1" applyBorder="1" applyAlignment="1" applyProtection="1">
      <alignment horizontal="center" vertical="center" wrapText="1"/>
      <protection locked="0"/>
    </xf>
    <xf numFmtId="43" fontId="53" fillId="0" borderId="1" xfId="5" applyFont="1" applyFill="1" applyBorder="1" applyAlignment="1" applyProtection="1">
      <alignment horizontal="center" vertical="center" wrapText="1"/>
      <protection locked="0"/>
    </xf>
    <xf numFmtId="43" fontId="54" fillId="8" borderId="1" xfId="5" applyFont="1" applyFill="1" applyBorder="1" applyAlignment="1" applyProtection="1">
      <alignment horizontal="center" vertical="center" wrapText="1"/>
      <protection locked="0"/>
    </xf>
    <xf numFmtId="43" fontId="55" fillId="8" borderId="1" xfId="5" applyFont="1" applyFill="1" applyBorder="1" applyAlignment="1" applyProtection="1">
      <alignment horizontal="center" vertical="center" wrapText="1"/>
      <protection locked="0"/>
    </xf>
    <xf numFmtId="43" fontId="53" fillId="2" borderId="1" xfId="5" applyFont="1" applyFill="1" applyBorder="1" applyAlignment="1" applyProtection="1">
      <alignment horizontal="center" vertical="center" wrapText="1"/>
      <protection locked="0"/>
    </xf>
    <xf numFmtId="43" fontId="54" fillId="11" borderId="1" xfId="5" applyFont="1" applyFill="1" applyBorder="1" applyAlignment="1">
      <alignment horizontal="center" vertical="center" wrapText="1"/>
    </xf>
    <xf numFmtId="43" fontId="55" fillId="11" borderId="1" xfId="5" applyFont="1" applyFill="1" applyBorder="1" applyAlignment="1">
      <alignment horizontal="center" vertical="center" wrapText="1"/>
    </xf>
    <xf numFmtId="10" fontId="53" fillId="2" borderId="1" xfId="3" applyNumberFormat="1" applyFont="1" applyFill="1" applyBorder="1" applyAlignment="1" applyProtection="1">
      <alignment horizontal="center" vertical="center" wrapText="1"/>
      <protection locked="0"/>
    </xf>
    <xf numFmtId="43" fontId="53" fillId="0" borderId="1" xfId="5" applyFont="1" applyBorder="1" applyAlignment="1" applyProtection="1">
      <alignment horizontal="center" vertical="center" wrapText="1"/>
      <protection locked="0"/>
    </xf>
    <xf numFmtId="43" fontId="56" fillId="0" borderId="1" xfId="5" applyNumberFormat="1" applyFont="1" applyFill="1" applyBorder="1" applyAlignment="1" applyProtection="1">
      <alignment horizontal="center" vertical="center" wrapText="1"/>
      <protection locked="0"/>
    </xf>
    <xf numFmtId="43" fontId="53" fillId="0" borderId="1" xfId="5" applyNumberFormat="1" applyFont="1" applyFill="1" applyBorder="1" applyAlignment="1" applyProtection="1">
      <alignment horizontal="center" vertical="center" wrapText="1"/>
      <protection locked="0"/>
    </xf>
    <xf numFmtId="43" fontId="56" fillId="0" borderId="1" xfId="5" applyFont="1" applyFill="1" applyBorder="1" applyAlignment="1" applyProtection="1">
      <alignment horizontal="center" vertical="center" wrapText="1"/>
      <protection locked="0"/>
    </xf>
    <xf numFmtId="43" fontId="54" fillId="13" borderId="1" xfId="5" quotePrefix="1" applyNumberFormat="1" applyFont="1" applyFill="1" applyBorder="1" applyAlignment="1" applyProtection="1">
      <alignment horizontal="center" vertical="center" wrapText="1"/>
      <protection locked="0"/>
    </xf>
    <xf numFmtId="43" fontId="57" fillId="13" borderId="1" xfId="5" applyNumberFormat="1" applyFont="1" applyFill="1" applyBorder="1" applyAlignment="1" applyProtection="1">
      <alignment horizontal="center" vertical="center" wrapText="1"/>
      <protection locked="0"/>
    </xf>
    <xf numFmtId="43" fontId="53" fillId="2" borderId="1" xfId="5" applyFont="1" applyFill="1" applyBorder="1" applyAlignment="1" applyProtection="1">
      <alignment horizontal="right" vertical="center" wrapText="1"/>
      <protection locked="0"/>
    </xf>
    <xf numFmtId="43" fontId="53" fillId="0" borderId="1" xfId="5" applyFont="1" applyFill="1" applyBorder="1" applyAlignment="1" applyProtection="1">
      <alignment horizontal="right" vertical="center" wrapText="1"/>
      <protection locked="0"/>
    </xf>
    <xf numFmtId="10" fontId="51" fillId="2" borderId="1" xfId="3" applyNumberFormat="1" applyFont="1" applyFill="1" applyBorder="1" applyAlignment="1" applyProtection="1">
      <alignment horizontal="center" vertical="center" wrapText="1"/>
      <protection locked="0"/>
    </xf>
    <xf numFmtId="43" fontId="51" fillId="2" borderId="1" xfId="5" applyFont="1" applyFill="1" applyBorder="1" applyAlignment="1" applyProtection="1">
      <alignment horizontal="center" vertical="center" wrapText="1"/>
      <protection locked="0"/>
    </xf>
    <xf numFmtId="10" fontId="55" fillId="19" borderId="1" xfId="0" applyNumberFormat="1" applyFont="1" applyFill="1" applyBorder="1" applyAlignment="1" applyProtection="1">
      <alignment horizontal="center" vertical="center" wrapText="1"/>
      <protection locked="0"/>
    </xf>
    <xf numFmtId="43" fontId="55" fillId="19" borderId="1" xfId="0" applyNumberFormat="1" applyFont="1" applyFill="1" applyBorder="1" applyAlignment="1" applyProtection="1">
      <alignment horizontal="center" vertical="center" wrapText="1"/>
      <protection locked="0"/>
    </xf>
    <xf numFmtId="10" fontId="55" fillId="19" borderId="3" xfId="0" applyNumberFormat="1" applyFont="1" applyFill="1" applyBorder="1" applyAlignment="1">
      <alignment horizontal="center" vertical="center" wrapText="1"/>
    </xf>
    <xf numFmtId="43" fontId="55" fillId="19" borderId="3" xfId="0" applyNumberFormat="1" applyFont="1" applyFill="1" applyBorder="1" applyAlignment="1">
      <alignment horizontal="center" vertical="center" wrapText="1"/>
    </xf>
    <xf numFmtId="10" fontId="58" fillId="0" borderId="3" xfId="3" applyNumberFormat="1" applyFont="1" applyFill="1" applyBorder="1" applyAlignment="1">
      <alignment horizontal="center" vertical="center" wrapText="1"/>
    </xf>
    <xf numFmtId="43" fontId="58" fillId="0" borderId="3" xfId="5" applyFont="1" applyFill="1" applyBorder="1" applyAlignment="1">
      <alignment horizontal="center" vertical="center" wrapText="1"/>
    </xf>
    <xf numFmtId="10" fontId="58" fillId="0" borderId="1" xfId="3" applyNumberFormat="1" applyFont="1" applyFill="1" applyBorder="1" applyAlignment="1">
      <alignment horizontal="center" vertical="center" wrapText="1"/>
    </xf>
    <xf numFmtId="43" fontId="58" fillId="0" borderId="1" xfId="5" applyFont="1" applyFill="1" applyBorder="1" applyAlignment="1">
      <alignment horizontal="center" vertical="center" wrapText="1"/>
    </xf>
    <xf numFmtId="10" fontId="56" fillId="19" borderId="1" xfId="3" applyNumberFormat="1" applyFont="1" applyFill="1" applyBorder="1" applyAlignment="1">
      <alignment horizontal="center" vertical="center" wrapText="1"/>
    </xf>
    <xf numFmtId="43" fontId="56" fillId="19" borderId="1" xfId="5" applyFont="1" applyFill="1" applyBorder="1" applyAlignment="1">
      <alignment horizontal="center" vertical="center" wrapText="1"/>
    </xf>
    <xf numFmtId="0" fontId="56" fillId="19" borderId="1" xfId="0" applyFont="1" applyFill="1" applyBorder="1" applyAlignment="1">
      <alignment horizontal="center" vertical="center" wrapText="1"/>
    </xf>
    <xf numFmtId="10" fontId="56" fillId="19" borderId="1" xfId="0" applyNumberFormat="1" applyFont="1" applyFill="1" applyBorder="1" applyAlignment="1">
      <alignment horizontal="center" vertical="center" wrapText="1"/>
    </xf>
    <xf numFmtId="43" fontId="56" fillId="19" borderId="1" xfId="0" applyNumberFormat="1" applyFont="1" applyFill="1" applyBorder="1" applyAlignment="1">
      <alignment horizontal="center" vertical="center" wrapText="1"/>
    </xf>
    <xf numFmtId="0" fontId="51" fillId="10" borderId="31" xfId="0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/>
    <xf numFmtId="0" fontId="3" fillId="2" borderId="0" xfId="0" quotePrefix="1" applyFont="1" applyFill="1" applyBorder="1" applyAlignment="1">
      <alignment horizontal="left"/>
    </xf>
    <xf numFmtId="0" fontId="4" fillId="2" borderId="0" xfId="2" applyFont="1" applyFill="1"/>
    <xf numFmtId="0" fontId="59" fillId="2" borderId="0" xfId="0" applyFont="1" applyFill="1" applyBorder="1"/>
    <xf numFmtId="0" fontId="4" fillId="2" borderId="0" xfId="0" applyFont="1" applyFill="1" applyBorder="1"/>
    <xf numFmtId="0" fontId="4" fillId="2" borderId="0" xfId="0" applyFont="1" applyFill="1"/>
    <xf numFmtId="0" fontId="60" fillId="2" borderId="0" xfId="0" applyFont="1" applyFill="1" applyAlignment="1">
      <alignment horizontal="left" vertical="center"/>
    </xf>
    <xf numFmtId="0" fontId="4" fillId="2" borderId="0" xfId="0" applyFont="1" applyFill="1" applyAlignment="1"/>
    <xf numFmtId="0" fontId="4" fillId="2" borderId="0" xfId="0" applyFont="1" applyFill="1" applyAlignment="1">
      <alignment wrapText="1"/>
    </xf>
    <xf numFmtId="0" fontId="4" fillId="2" borderId="0" xfId="0" applyFont="1" applyFill="1" applyBorder="1" applyAlignment="1">
      <alignment horizontal="right" vertical="center"/>
    </xf>
    <xf numFmtId="0" fontId="61" fillId="2" borderId="0" xfId="0" applyFont="1" applyFill="1" applyBorder="1" applyAlignment="1">
      <alignment horizontal="left" vertical="center"/>
    </xf>
    <xf numFmtId="0" fontId="52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0" fontId="25" fillId="2" borderId="0" xfId="0" applyFont="1" applyFill="1" applyAlignment="1"/>
    <xf numFmtId="0" fontId="2" fillId="2" borderId="0" xfId="0" applyNumberFormat="1" applyFont="1" applyFill="1" applyBorder="1" applyAlignment="1" applyProtection="1">
      <alignment horizontal="center" vertical="center"/>
    </xf>
    <xf numFmtId="0" fontId="2" fillId="2" borderId="0" xfId="0" applyNumberFormat="1" applyFont="1" applyFill="1" applyBorder="1" applyAlignment="1">
      <alignment horizontal="center" vertical="center"/>
    </xf>
    <xf numFmtId="43" fontId="2" fillId="2" borderId="0" xfId="0" applyNumberFormat="1" applyFont="1" applyFill="1" applyBorder="1" applyAlignment="1">
      <alignment horizontal="center" vertical="center"/>
    </xf>
    <xf numFmtId="0" fontId="4" fillId="2" borderId="0" xfId="2" applyFont="1" applyFill="1" applyAlignment="1"/>
    <xf numFmtId="0" fontId="2" fillId="2" borderId="0" xfId="2" applyFont="1" applyFill="1"/>
    <xf numFmtId="0" fontId="52" fillId="2" borderId="0" xfId="0" applyFont="1" applyFill="1"/>
    <xf numFmtId="43" fontId="2" fillId="2" borderId="0" xfId="2" applyNumberFormat="1" applyFont="1" applyFill="1" applyAlignment="1"/>
    <xf numFmtId="0" fontId="2" fillId="2" borderId="0" xfId="2" applyFont="1" applyFill="1" applyAlignment="1"/>
    <xf numFmtId="43" fontId="2" fillId="2" borderId="0" xfId="5" applyFont="1" applyFill="1"/>
    <xf numFmtId="43" fontId="2" fillId="2" borderId="0" xfId="2" applyNumberFormat="1" applyFont="1" applyFill="1"/>
    <xf numFmtId="0" fontId="62" fillId="2" borderId="0" xfId="2" applyFont="1" applyFill="1"/>
    <xf numFmtId="0" fontId="52" fillId="2" borderId="0" xfId="2" applyFont="1" applyFill="1"/>
    <xf numFmtId="0" fontId="52" fillId="2" borderId="0" xfId="2" applyFont="1" applyFill="1" applyAlignment="1"/>
    <xf numFmtId="43" fontId="62" fillId="2" borderId="0" xfId="5" applyFont="1" applyFill="1"/>
    <xf numFmtId="0" fontId="62" fillId="2" borderId="0" xfId="2" applyFont="1" applyFill="1" applyAlignment="1"/>
    <xf numFmtId="0" fontId="62" fillId="2" borderId="0" xfId="0" applyFont="1" applyFill="1"/>
    <xf numFmtId="0" fontId="63" fillId="2" borderId="0" xfId="2" applyFont="1" applyFill="1"/>
    <xf numFmtId="43" fontId="63" fillId="2" borderId="0" xfId="5" applyFont="1" applyFill="1"/>
    <xf numFmtId="0" fontId="63" fillId="2" borderId="0" xfId="2" applyFont="1" applyFill="1" applyAlignment="1"/>
    <xf numFmtId="0" fontId="63" fillId="2" borderId="0" xfId="0" applyFont="1" applyFill="1"/>
    <xf numFmtId="0" fontId="60" fillId="2" borderId="0" xfId="2" applyFont="1" applyFill="1"/>
    <xf numFmtId="43" fontId="4" fillId="2" borderId="0" xfId="5" applyFont="1" applyFill="1"/>
    <xf numFmtId="0" fontId="2" fillId="2" borderId="0" xfId="2" applyFont="1" applyFill="1" applyBorder="1"/>
    <xf numFmtId="2" fontId="4" fillId="2" borderId="0" xfId="2" applyNumberFormat="1" applyFont="1" applyFill="1"/>
    <xf numFmtId="43" fontId="58" fillId="8" borderId="39" xfId="5" applyFont="1" applyFill="1" applyBorder="1" applyAlignment="1">
      <alignment horizontal="center" vertical="center" wrapText="1"/>
    </xf>
    <xf numFmtId="0" fontId="51" fillId="0" borderId="64" xfId="0" applyFont="1" applyFill="1" applyBorder="1" applyAlignment="1" applyProtection="1">
      <alignment horizontal="center" vertical="center" wrapText="1"/>
      <protection locked="0"/>
    </xf>
    <xf numFmtId="0" fontId="51" fillId="0" borderId="65" xfId="0" applyFont="1" applyFill="1" applyBorder="1" applyAlignment="1" applyProtection="1">
      <alignment horizontal="center" vertical="center" wrapText="1"/>
      <protection locked="0"/>
    </xf>
    <xf numFmtId="0" fontId="51" fillId="2" borderId="34" xfId="4" applyFont="1" applyFill="1" applyBorder="1" applyAlignment="1" applyProtection="1">
      <alignment horizontal="center" vertical="center" wrapText="1"/>
      <protection locked="0"/>
    </xf>
    <xf numFmtId="0" fontId="2" fillId="2" borderId="0" xfId="0" applyNumberFormat="1" applyFont="1" applyFill="1" applyBorder="1" applyAlignment="1" applyProtection="1">
      <alignment horizontal="left" vertical="center" wrapText="1"/>
    </xf>
    <xf numFmtId="0" fontId="37" fillId="2" borderId="0" xfId="0" applyFont="1" applyFill="1" applyBorder="1"/>
    <xf numFmtId="0" fontId="59" fillId="10" borderId="32" xfId="9" applyNumberFormat="1" applyFont="1" applyFill="1" applyBorder="1" applyAlignment="1">
      <alignment horizontal="center" vertical="center" wrapText="1"/>
    </xf>
    <xf numFmtId="0" fontId="59" fillId="18" borderId="32" xfId="9" applyNumberFormat="1" applyFont="1" applyFill="1" applyBorder="1" applyAlignment="1">
      <alignment horizontal="center" vertical="center" wrapText="1"/>
    </xf>
    <xf numFmtId="0" fontId="4" fillId="2" borderId="32" xfId="0" applyFont="1" applyFill="1" applyBorder="1"/>
    <xf numFmtId="0" fontId="2" fillId="2" borderId="0" xfId="0" applyFont="1" applyFill="1" applyAlignment="1">
      <alignment wrapText="1"/>
    </xf>
    <xf numFmtId="0" fontId="61" fillId="2" borderId="0" xfId="0" quotePrefix="1" applyFont="1" applyFill="1" applyBorder="1" applyAlignment="1">
      <alignment horizontal="right" vertical="center" wrapText="1"/>
    </xf>
    <xf numFmtId="0" fontId="64" fillId="2" borderId="0" xfId="0" applyFont="1" applyFill="1" applyBorder="1" applyAlignment="1">
      <alignment horizontal="right" vertical="center"/>
    </xf>
    <xf numFmtId="0" fontId="2" fillId="2" borderId="0" xfId="0" applyFont="1" applyFill="1" applyBorder="1"/>
    <xf numFmtId="0" fontId="4" fillId="2" borderId="0" xfId="0" applyNumberFormat="1" applyFont="1" applyFill="1" applyBorder="1" applyAlignment="1" applyProtection="1">
      <alignment horizontal="center" vertical="center"/>
    </xf>
    <xf numFmtId="0" fontId="4" fillId="2" borderId="0" xfId="0" applyNumberFormat="1" applyFont="1" applyFill="1" applyBorder="1" applyAlignment="1" applyProtection="1">
      <alignment horizontal="left" vertical="center" wrapText="1"/>
    </xf>
    <xf numFmtId="0" fontId="65" fillId="2" borderId="0" xfId="2" applyFont="1" applyFill="1" applyAlignment="1"/>
    <xf numFmtId="0" fontId="65" fillId="2" borderId="0" xfId="0" applyFont="1" applyFill="1"/>
    <xf numFmtId="0" fontId="65" fillId="2" borderId="0" xfId="2" applyFont="1" applyFill="1"/>
    <xf numFmtId="0" fontId="60" fillId="2" borderId="0" xfId="0" applyFont="1" applyFill="1"/>
    <xf numFmtId="0" fontId="51" fillId="10" borderId="32" xfId="9" applyNumberFormat="1" applyFont="1" applyFill="1" applyBorder="1" applyAlignment="1">
      <alignment vertical="center" wrapText="1"/>
    </xf>
    <xf numFmtId="0" fontId="58" fillId="8" borderId="32" xfId="5" applyNumberFormat="1" applyFont="1" applyFill="1" applyBorder="1" applyAlignment="1">
      <alignment horizontal="left" vertical="center" wrapText="1"/>
    </xf>
    <xf numFmtId="14" fontId="58" fillId="8" borderId="32" xfId="5" applyNumberFormat="1" applyFont="1" applyFill="1" applyBorder="1" applyAlignment="1">
      <alignment horizontal="left" vertical="center" wrapText="1"/>
    </xf>
    <xf numFmtId="166" fontId="58" fillId="8" borderId="32" xfId="5" applyNumberFormat="1" applyFont="1" applyFill="1" applyBorder="1" applyAlignment="1">
      <alignment horizontal="left" vertical="center" wrapText="1"/>
    </xf>
    <xf numFmtId="0" fontId="53" fillId="0" borderId="32" xfId="0" applyFont="1" applyBorder="1"/>
    <xf numFmtId="0" fontId="51" fillId="10" borderId="32" xfId="0" applyFont="1" applyFill="1" applyBorder="1" applyAlignment="1" applyProtection="1">
      <alignment horizontal="center" vertical="center" wrapText="1"/>
      <protection locked="0"/>
    </xf>
    <xf numFmtId="0" fontId="53" fillId="2" borderId="0" xfId="0" applyFont="1" applyFill="1" applyProtection="1">
      <protection locked="0"/>
    </xf>
    <xf numFmtId="49" fontId="53" fillId="2" borderId="0" xfId="0" applyNumberFormat="1" applyFont="1" applyFill="1" applyProtection="1">
      <protection locked="0"/>
    </xf>
    <xf numFmtId="165" fontId="55" fillId="2" borderId="0" xfId="4" applyNumberFormat="1" applyFont="1" applyFill="1" applyBorder="1" applyAlignment="1" applyProtection="1">
      <alignment horizontal="center" vertical="center"/>
      <protection locked="0"/>
    </xf>
    <xf numFmtId="0" fontId="53" fillId="2" borderId="0" xfId="0" applyNumberFormat="1" applyFont="1" applyFill="1" applyProtection="1">
      <protection locked="0"/>
    </xf>
    <xf numFmtId="0" fontId="53" fillId="2" borderId="0" xfId="0" applyFont="1" applyFill="1" applyAlignment="1" applyProtection="1">
      <alignment wrapText="1"/>
      <protection locked="0"/>
    </xf>
    <xf numFmtId="0" fontId="67" fillId="2" borderId="0" xfId="4" applyFont="1" applyFill="1" applyAlignment="1" applyProtection="1">
      <alignment horizontal="left"/>
      <protection locked="0"/>
    </xf>
    <xf numFmtId="0" fontId="53" fillId="2" borderId="0" xfId="4" applyFont="1" applyFill="1" applyAlignment="1" applyProtection="1">
      <alignment horizontal="left"/>
      <protection locked="0"/>
    </xf>
    <xf numFmtId="0" fontId="53" fillId="2" borderId="0" xfId="0" applyFont="1" applyFill="1" applyAlignment="1" applyProtection="1">
      <alignment horizontal="left"/>
      <protection locked="0"/>
    </xf>
    <xf numFmtId="0" fontId="67" fillId="2" borderId="0" xfId="0" applyFont="1" applyFill="1" applyProtection="1">
      <protection locked="0"/>
    </xf>
    <xf numFmtId="10" fontId="53" fillId="2" borderId="0" xfId="0" applyNumberFormat="1" applyFont="1" applyFill="1" applyProtection="1">
      <protection locked="0"/>
    </xf>
    <xf numFmtId="49" fontId="55" fillId="2" borderId="0" xfId="4" applyNumberFormat="1" applyFont="1" applyFill="1" applyBorder="1" applyAlignment="1" applyProtection="1">
      <alignment horizontal="center" vertical="center"/>
      <protection locked="0"/>
    </xf>
    <xf numFmtId="0" fontId="53" fillId="2" borderId="0" xfId="0" applyFont="1" applyFill="1" applyBorder="1" applyAlignment="1" applyProtection="1">
      <alignment horizontal="center" vertical="center"/>
      <protection locked="0"/>
    </xf>
    <xf numFmtId="0" fontId="68" fillId="10" borderId="32" xfId="0" applyFont="1" applyFill="1" applyBorder="1" applyAlignment="1" applyProtection="1">
      <alignment horizontal="center" vertical="center" wrapText="1"/>
      <protection locked="0"/>
    </xf>
    <xf numFmtId="0" fontId="51" fillId="10" borderId="36" xfId="0" applyFont="1" applyFill="1" applyBorder="1" applyAlignment="1" applyProtection="1">
      <alignment horizontal="center" vertical="center" wrapText="1"/>
      <protection locked="0"/>
    </xf>
    <xf numFmtId="0" fontId="51" fillId="10" borderId="37" xfId="0" applyFont="1" applyFill="1" applyBorder="1" applyAlignment="1" applyProtection="1">
      <alignment horizontal="center" vertical="center" wrapText="1"/>
      <protection locked="0"/>
    </xf>
    <xf numFmtId="2" fontId="58" fillId="8" borderId="39" xfId="5" applyNumberFormat="1" applyFont="1" applyFill="1" applyBorder="1" applyAlignment="1">
      <alignment horizontal="center" vertical="center" wrapText="1"/>
    </xf>
    <xf numFmtId="0" fontId="55" fillId="2" borderId="0" xfId="4" applyFont="1" applyFill="1" applyBorder="1" applyAlignment="1" applyProtection="1">
      <alignment horizontal="left"/>
    </xf>
    <xf numFmtId="14" fontId="53" fillId="2" borderId="0" xfId="0" applyNumberFormat="1" applyFont="1" applyFill="1" applyBorder="1" applyAlignment="1" applyProtection="1">
      <alignment horizontal="left" wrapText="1"/>
      <protection locked="0"/>
    </xf>
    <xf numFmtId="0" fontId="53" fillId="2" borderId="0" xfId="0" applyFont="1" applyFill="1" applyBorder="1" applyAlignment="1" applyProtection="1">
      <alignment horizontal="left" wrapText="1"/>
      <protection locked="0"/>
    </xf>
    <xf numFmtId="0" fontId="53" fillId="2" borderId="0" xfId="0" applyNumberFormat="1" applyFont="1" applyFill="1" applyBorder="1" applyAlignment="1" applyProtection="1">
      <alignment horizontal="left" wrapText="1"/>
      <protection locked="0"/>
    </xf>
    <xf numFmtId="0" fontId="56" fillId="2" borderId="0" xfId="0" applyFont="1" applyFill="1" applyBorder="1" applyAlignment="1" applyProtection="1">
      <alignment horizontal="center" vertical="center" wrapText="1"/>
      <protection locked="0"/>
    </xf>
    <xf numFmtId="0" fontId="53" fillId="2" borderId="0" xfId="0" applyFont="1" applyFill="1" applyAlignment="1" applyProtection="1">
      <alignment horizontal="center"/>
      <protection locked="0"/>
    </xf>
    <xf numFmtId="1" fontId="58" fillId="8" borderId="32" xfId="5" applyNumberFormat="1" applyFont="1" applyFill="1" applyBorder="1" applyAlignment="1">
      <alignment horizontal="center" vertical="center" wrapText="1"/>
    </xf>
    <xf numFmtId="43" fontId="53" fillId="2" borderId="0" xfId="0" applyNumberFormat="1" applyFont="1" applyFill="1" applyProtection="1">
      <protection locked="0"/>
    </xf>
    <xf numFmtId="1" fontId="58" fillId="8" borderId="33" xfId="5" applyNumberFormat="1" applyFont="1" applyFill="1" applyBorder="1" applyAlignment="1">
      <alignment horizontal="center" vertical="center" wrapText="1"/>
    </xf>
    <xf numFmtId="0" fontId="51" fillId="10" borderId="35" xfId="0" applyFont="1" applyFill="1" applyBorder="1" applyAlignment="1" applyProtection="1">
      <alignment horizontal="center" vertical="center" wrapText="1"/>
      <protection locked="0"/>
    </xf>
    <xf numFmtId="2" fontId="58" fillId="8" borderId="0" xfId="5" applyNumberFormat="1" applyFont="1" applyFill="1" applyBorder="1" applyAlignment="1">
      <alignment horizontal="center" vertical="center" wrapText="1"/>
    </xf>
    <xf numFmtId="0" fontId="56" fillId="2" borderId="0" xfId="0" applyFont="1" applyFill="1" applyProtection="1"/>
    <xf numFmtId="0" fontId="56" fillId="2" borderId="0" xfId="0" applyFont="1" applyFill="1" applyProtection="1">
      <protection locked="0"/>
    </xf>
    <xf numFmtId="0" fontId="53" fillId="2" borderId="0" xfId="0" applyFont="1" applyFill="1" applyAlignment="1" applyProtection="1">
      <alignment horizontal="center" wrapText="1"/>
      <protection locked="0"/>
    </xf>
    <xf numFmtId="9" fontId="58" fillId="8" borderId="38" xfId="3" applyFont="1" applyFill="1" applyBorder="1" applyAlignment="1">
      <alignment horizontal="center" vertical="center" wrapText="1"/>
    </xf>
    <xf numFmtId="0" fontId="53" fillId="2" borderId="0" xfId="3" applyNumberFormat="1" applyFont="1" applyFill="1" applyProtection="1">
      <protection locked="0"/>
    </xf>
    <xf numFmtId="0" fontId="56" fillId="2" borderId="0" xfId="0" applyFont="1" applyFill="1" applyAlignment="1" applyProtection="1">
      <alignment horizontal="center"/>
    </xf>
    <xf numFmtId="0" fontId="53" fillId="2" borderId="0" xfId="0" applyFont="1" applyFill="1" applyAlignment="1" applyProtection="1">
      <alignment horizontal="center"/>
    </xf>
    <xf numFmtId="14" fontId="53" fillId="2" borderId="0" xfId="0" applyNumberFormat="1" applyFont="1" applyFill="1" applyBorder="1" applyAlignment="1" applyProtection="1">
      <alignment horizontal="center" wrapText="1"/>
      <protection locked="0"/>
    </xf>
    <xf numFmtId="49" fontId="53" fillId="2" borderId="0" xfId="0" applyNumberFormat="1" applyFont="1" applyFill="1" applyBorder="1" applyAlignment="1" applyProtection="1">
      <alignment horizontal="center" wrapText="1"/>
      <protection locked="0"/>
    </xf>
    <xf numFmtId="0" fontId="69" fillId="2" borderId="0" xfId="0" applyNumberFormat="1" applyFont="1" applyFill="1" applyBorder="1" applyAlignment="1" applyProtection="1">
      <alignment horizontal="center" wrapText="1"/>
      <protection locked="0"/>
    </xf>
    <xf numFmtId="0" fontId="53" fillId="2" borderId="0" xfId="0" applyFont="1" applyFill="1" applyBorder="1" applyAlignment="1" applyProtection="1">
      <alignment horizontal="center"/>
      <protection locked="0"/>
    </xf>
    <xf numFmtId="0" fontId="56" fillId="2" borderId="0" xfId="0" applyFont="1" applyFill="1" applyAlignment="1" applyProtection="1">
      <alignment horizontal="center"/>
      <protection locked="0"/>
    </xf>
    <xf numFmtId="9" fontId="58" fillId="8" borderId="31" xfId="3" applyFont="1" applyFill="1" applyBorder="1" applyAlignment="1">
      <alignment horizontal="center" vertical="center" wrapText="1"/>
    </xf>
    <xf numFmtId="2" fontId="58" fillId="8" borderId="0" xfId="5" applyNumberFormat="1" applyFont="1" applyFill="1" applyAlignment="1" applyProtection="1">
      <alignment horizontal="center" vertical="center" wrapText="1"/>
      <protection locked="0"/>
    </xf>
    <xf numFmtId="0" fontId="70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56" fillId="2" borderId="32" xfId="0" applyFont="1" applyFill="1" applyBorder="1" applyAlignment="1" applyProtection="1">
      <alignment horizontal="center"/>
      <protection locked="0"/>
    </xf>
    <xf numFmtId="0" fontId="56" fillId="2" borderId="32" xfId="0" applyFont="1" applyFill="1" applyBorder="1" applyAlignment="1" applyProtection="1">
      <alignment horizontal="center"/>
    </xf>
    <xf numFmtId="14" fontId="56" fillId="2" borderId="32" xfId="0" applyNumberFormat="1" applyFont="1" applyFill="1" applyBorder="1" applyAlignment="1" applyProtection="1">
      <alignment horizontal="center" wrapText="1"/>
      <protection locked="0"/>
    </xf>
    <xf numFmtId="49" fontId="56" fillId="2" borderId="32" xfId="0" applyNumberFormat="1" applyFont="1" applyFill="1" applyBorder="1" applyAlignment="1" applyProtection="1">
      <alignment horizontal="center" wrapText="1"/>
      <protection locked="0"/>
    </xf>
    <xf numFmtId="0" fontId="71" fillId="2" borderId="32" xfId="0" applyNumberFormat="1" applyFont="1" applyFill="1" applyBorder="1" applyAlignment="1" applyProtection="1">
      <alignment horizontal="center" wrapText="1"/>
      <protection locked="0"/>
    </xf>
    <xf numFmtId="0" fontId="70" fillId="2" borderId="32" xfId="0" applyNumberFormat="1" applyFont="1" applyFill="1" applyBorder="1" applyAlignment="1" applyProtection="1">
      <alignment horizontal="center" vertical="center" wrapText="1"/>
      <protection locked="0"/>
    </xf>
    <xf numFmtId="0" fontId="56" fillId="2" borderId="32" xfId="0" applyFont="1" applyFill="1" applyBorder="1" applyAlignment="1" applyProtection="1">
      <alignment horizontal="center" wrapText="1"/>
      <protection locked="0"/>
    </xf>
    <xf numFmtId="0" fontId="56" fillId="2" borderId="33" xfId="0" applyFont="1" applyFill="1" applyBorder="1" applyAlignment="1" applyProtection="1">
      <alignment horizontal="center"/>
      <protection locked="0"/>
    </xf>
    <xf numFmtId="0" fontId="56" fillId="2" borderId="34" xfId="0" applyFont="1" applyFill="1" applyBorder="1" applyAlignment="1" applyProtection="1">
      <alignment horizontal="center"/>
      <protection locked="0"/>
    </xf>
    <xf numFmtId="0" fontId="51" fillId="0" borderId="32" xfId="9" applyFont="1" applyFill="1" applyBorder="1" applyAlignment="1" applyProtection="1">
      <alignment horizontal="center" vertical="center" wrapText="1"/>
    </xf>
    <xf numFmtId="0" fontId="51" fillId="0" borderId="32" xfId="9" applyFont="1" applyFill="1" applyBorder="1" applyAlignment="1" applyProtection="1">
      <alignment horizontal="center" vertical="center" wrapText="1"/>
      <protection locked="0"/>
    </xf>
    <xf numFmtId="49" fontId="51" fillId="0" borderId="32" xfId="9" applyNumberFormat="1" applyFont="1" applyFill="1" applyBorder="1" applyAlignment="1" applyProtection="1">
      <alignment horizontal="center" vertical="center" wrapText="1"/>
      <protection locked="0"/>
    </xf>
    <xf numFmtId="0" fontId="51" fillId="0" borderId="32" xfId="0" applyNumberFormat="1" applyFont="1" applyFill="1" applyBorder="1" applyAlignment="1" applyProtection="1">
      <alignment horizontal="center" wrapText="1"/>
      <protection locked="0"/>
    </xf>
    <xf numFmtId="0" fontId="51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51" fillId="0" borderId="32" xfId="0" applyFont="1" applyFill="1" applyBorder="1" applyAlignment="1" applyProtection="1">
      <alignment horizontal="center" vertical="center" textRotation="90" wrapText="1"/>
      <protection locked="0"/>
    </xf>
    <xf numFmtId="0" fontId="74" fillId="2" borderId="32" xfId="0" applyFont="1" applyFill="1" applyBorder="1" applyAlignment="1" applyProtection="1">
      <alignment horizontal="center"/>
      <protection locked="0"/>
    </xf>
    <xf numFmtId="0" fontId="74" fillId="2" borderId="32" xfId="0" applyFont="1" applyFill="1" applyBorder="1" applyAlignment="1" applyProtection="1">
      <alignment horizontal="center"/>
    </xf>
    <xf numFmtId="14" fontId="74" fillId="2" borderId="32" xfId="0" applyNumberFormat="1" applyFont="1" applyFill="1" applyBorder="1" applyAlignment="1" applyProtection="1">
      <alignment horizontal="center" wrapText="1"/>
      <protection locked="0"/>
    </xf>
    <xf numFmtId="49" fontId="74" fillId="2" borderId="32" xfId="0" applyNumberFormat="1" applyFont="1" applyFill="1" applyBorder="1" applyAlignment="1" applyProtection="1">
      <alignment horizontal="center" wrapText="1"/>
      <protection locked="0"/>
    </xf>
    <xf numFmtId="0" fontId="74" fillId="2" borderId="32" xfId="0" applyNumberFormat="1" applyFont="1" applyFill="1" applyBorder="1" applyAlignment="1" applyProtection="1">
      <alignment horizontal="center" wrapText="1"/>
      <protection locked="0"/>
    </xf>
    <xf numFmtId="0" fontId="75" fillId="2" borderId="32" xfId="0" applyNumberFormat="1" applyFont="1" applyFill="1" applyBorder="1" applyAlignment="1" applyProtection="1">
      <alignment horizontal="center" vertical="center" wrapText="1"/>
      <protection locked="0"/>
    </xf>
    <xf numFmtId="0" fontId="75" fillId="2" borderId="32" xfId="0" applyNumberFormat="1" applyFont="1" applyFill="1" applyBorder="1" applyAlignment="1" applyProtection="1">
      <alignment horizontal="center" wrapText="1"/>
      <protection locked="0"/>
    </xf>
    <xf numFmtId="0" fontId="74" fillId="2" borderId="32" xfId="0" applyFont="1" applyFill="1" applyBorder="1" applyAlignment="1" applyProtection="1">
      <alignment horizontal="center" wrapText="1"/>
      <protection locked="0"/>
    </xf>
    <xf numFmtId="0" fontId="74" fillId="2" borderId="32" xfId="4" applyFont="1" applyFill="1" applyBorder="1" applyAlignment="1" applyProtection="1">
      <alignment vertical="center"/>
      <protection locked="0"/>
    </xf>
    <xf numFmtId="0" fontId="74" fillId="2" borderId="34" xfId="0" applyFont="1" applyFill="1" applyBorder="1" applyAlignment="1" applyProtection="1">
      <alignment horizontal="center"/>
      <protection locked="0"/>
    </xf>
    <xf numFmtId="0" fontId="74" fillId="2" borderId="0" xfId="0" applyFont="1" applyFill="1" applyAlignment="1" applyProtection="1">
      <alignment horizontal="center"/>
      <protection locked="0"/>
    </xf>
    <xf numFmtId="0" fontId="53" fillId="0" borderId="3" xfId="0" applyNumberFormat="1" applyFont="1" applyFill="1" applyBorder="1" applyAlignment="1" applyProtection="1">
      <alignment horizontal="center" vertical="center" wrapText="1"/>
    </xf>
    <xf numFmtId="0" fontId="58" fillId="0" borderId="3" xfId="4" applyFont="1" applyFill="1" applyBorder="1" applyAlignment="1" applyProtection="1">
      <alignment horizontal="center" vertical="center" wrapText="1"/>
    </xf>
    <xf numFmtId="0" fontId="58" fillId="0" borderId="3" xfId="4" applyFont="1" applyBorder="1" applyAlignment="1" applyProtection="1">
      <alignment horizontal="center" vertical="center" wrapText="1"/>
    </xf>
    <xf numFmtId="0" fontId="53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53" fillId="0" borderId="3" xfId="0" applyFont="1" applyFill="1" applyBorder="1" applyAlignment="1" applyProtection="1">
      <alignment horizontal="center" vertical="center" wrapText="1"/>
      <protection locked="0"/>
    </xf>
    <xf numFmtId="0" fontId="58" fillId="0" borderId="3" xfId="4" applyFont="1" applyBorder="1" applyAlignment="1" applyProtection="1">
      <alignment horizontal="center" vertical="center" wrapText="1"/>
      <protection locked="0"/>
    </xf>
    <xf numFmtId="0" fontId="53" fillId="0" borderId="3" xfId="0" applyFont="1" applyBorder="1" applyAlignment="1" applyProtection="1">
      <alignment horizontal="center" vertical="center" wrapText="1"/>
      <protection locked="0"/>
    </xf>
    <xf numFmtId="49" fontId="53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58" fillId="2" borderId="3" xfId="4" applyFont="1" applyFill="1" applyBorder="1" applyAlignment="1" applyProtection="1">
      <alignment vertical="center" wrapText="1"/>
      <protection locked="0"/>
    </xf>
    <xf numFmtId="0" fontId="55" fillId="0" borderId="3" xfId="0" applyFont="1" applyFill="1" applyBorder="1" applyAlignment="1" applyProtection="1">
      <alignment horizontal="center" vertical="center" wrapText="1"/>
      <protection locked="0"/>
    </xf>
    <xf numFmtId="0" fontId="58" fillId="0" borderId="3" xfId="4" applyFont="1" applyFill="1" applyBorder="1" applyAlignment="1" applyProtection="1">
      <alignment horizontal="center" vertical="center" wrapText="1"/>
      <protection locked="0"/>
    </xf>
    <xf numFmtId="0" fontId="55" fillId="0" borderId="3" xfId="4" applyFont="1" applyFill="1" applyBorder="1" applyAlignment="1" applyProtection="1">
      <alignment horizontal="center" vertical="center" wrapText="1"/>
      <protection locked="0"/>
    </xf>
    <xf numFmtId="2" fontId="53" fillId="0" borderId="3" xfId="0" applyNumberFormat="1" applyFont="1" applyFill="1" applyBorder="1" applyAlignment="1" applyProtection="1">
      <alignment horizontal="center" vertical="center" wrapText="1"/>
      <protection locked="0"/>
    </xf>
    <xf numFmtId="2" fontId="56" fillId="0" borderId="3" xfId="0" applyNumberFormat="1" applyFont="1" applyFill="1" applyBorder="1" applyAlignment="1" applyProtection="1">
      <alignment horizontal="center" vertical="center" wrapText="1"/>
      <protection locked="0"/>
    </xf>
    <xf numFmtId="14" fontId="53" fillId="0" borderId="3" xfId="0" applyNumberFormat="1" applyFont="1" applyFill="1" applyBorder="1" applyAlignment="1" applyProtection="1">
      <alignment horizontal="center" vertical="center" wrapText="1"/>
      <protection locked="0"/>
    </xf>
    <xf numFmtId="43" fontId="53" fillId="2" borderId="0" xfId="5" applyFont="1" applyFill="1" applyBorder="1" applyAlignment="1" applyProtection="1">
      <alignment horizontal="center" vertical="center" wrapText="1"/>
      <protection locked="0"/>
    </xf>
    <xf numFmtId="0" fontId="53" fillId="2" borderId="0" xfId="0" applyFont="1" applyFill="1" applyAlignment="1" applyProtection="1">
      <alignment horizontal="center" vertical="center" wrapText="1"/>
      <protection locked="0"/>
    </xf>
    <xf numFmtId="0" fontId="72" fillId="13" borderId="1" xfId="5" applyNumberFormat="1" applyFont="1" applyFill="1" applyBorder="1" applyAlignment="1" applyProtection="1">
      <alignment horizontal="center" vertical="center" wrapText="1"/>
      <protection locked="0"/>
    </xf>
    <xf numFmtId="0" fontId="53" fillId="0" borderId="1" xfId="0" applyNumberFormat="1" applyFont="1" applyFill="1" applyBorder="1" applyAlignment="1" applyProtection="1">
      <alignment horizontal="center" vertical="center" wrapText="1"/>
    </xf>
    <xf numFmtId="0" fontId="58" fillId="0" borderId="1" xfId="4" applyFont="1" applyFill="1" applyBorder="1" applyAlignment="1" applyProtection="1">
      <alignment horizontal="center" vertical="center" wrapText="1"/>
    </xf>
    <xf numFmtId="0" fontId="58" fillId="0" borderId="1" xfId="4" applyNumberFormat="1" applyFont="1" applyFill="1" applyBorder="1" applyAlignment="1" applyProtection="1">
      <alignment horizontal="center" vertical="center" wrapText="1"/>
    </xf>
    <xf numFmtId="0" fontId="5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3" fillId="0" borderId="1" xfId="0" applyFont="1" applyFill="1" applyBorder="1" applyAlignment="1" applyProtection="1">
      <alignment horizontal="center" vertical="center" wrapText="1"/>
      <protection locked="0"/>
    </xf>
    <xf numFmtId="0" fontId="58" fillId="0" borderId="1" xfId="4" applyFont="1" applyFill="1" applyBorder="1" applyAlignment="1" applyProtection="1">
      <alignment horizontal="center" vertical="center" wrapText="1"/>
      <protection locked="0"/>
    </xf>
    <xf numFmtId="0" fontId="53" fillId="0" borderId="1" xfId="0" applyFont="1" applyBorder="1" applyAlignment="1" applyProtection="1">
      <alignment horizontal="center" vertical="center" wrapText="1"/>
      <protection locked="0"/>
    </xf>
    <xf numFmtId="49" fontId="53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3" fillId="0" borderId="1" xfId="0" applyNumberFormat="1" applyFont="1" applyBorder="1" applyAlignment="1" applyProtection="1">
      <alignment horizontal="center" vertical="center" wrapText="1"/>
      <protection locked="0"/>
    </xf>
    <xf numFmtId="0" fontId="58" fillId="2" borderId="1" xfId="4" applyFont="1" applyFill="1" applyBorder="1" applyAlignment="1" applyProtection="1">
      <alignment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  <protection locked="0"/>
    </xf>
    <xf numFmtId="0" fontId="55" fillId="0" borderId="1" xfId="4" applyFont="1" applyFill="1" applyBorder="1" applyAlignment="1" applyProtection="1">
      <alignment horizontal="center" vertical="center" wrapText="1"/>
      <protection locked="0"/>
    </xf>
    <xf numFmtId="2" fontId="53" fillId="0" borderId="1" xfId="0" applyNumberFormat="1" applyFont="1" applyFill="1" applyBorder="1" applyAlignment="1" applyProtection="1">
      <alignment horizontal="center" vertical="center" wrapText="1"/>
      <protection locked="0"/>
    </xf>
    <xf numFmtId="14" fontId="53" fillId="0" borderId="1" xfId="0" applyNumberFormat="1" applyFont="1" applyFill="1" applyBorder="1" applyAlignment="1" applyProtection="1">
      <alignment horizontal="center" vertical="center" wrapText="1"/>
      <protection locked="0"/>
    </xf>
    <xf numFmtId="43" fontId="53" fillId="2" borderId="0" xfId="5" applyFont="1" applyFill="1" applyBorder="1" applyProtection="1">
      <protection locked="0"/>
    </xf>
    <xf numFmtId="0" fontId="56" fillId="2" borderId="0" xfId="0" applyFont="1" applyFill="1" applyAlignment="1" applyProtection="1">
      <alignment horizontal="center" vertical="center"/>
    </xf>
    <xf numFmtId="0" fontId="53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58" fillId="2" borderId="0" xfId="0" applyNumberFormat="1" applyFont="1" applyFill="1" applyBorder="1" applyAlignment="1" applyProtection="1">
      <alignment horizontal="center" vertical="center" wrapText="1"/>
      <protection locked="0"/>
    </xf>
    <xf numFmtId="43" fontId="55" fillId="9" borderId="3" xfId="0" applyNumberFormat="1" applyFont="1" applyFill="1" applyBorder="1" applyAlignment="1">
      <alignment horizontal="center" vertical="center" wrapText="1"/>
    </xf>
    <xf numFmtId="49" fontId="53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53" fillId="2" borderId="0" xfId="0" applyNumberFormat="1" applyFont="1" applyFill="1" applyAlignment="1" applyProtection="1">
      <alignment horizontal="center" vertical="center" wrapText="1"/>
      <protection locked="0"/>
    </xf>
    <xf numFmtId="0" fontId="55" fillId="2" borderId="0" xfId="0" applyFont="1" applyFill="1" applyBorder="1" applyAlignment="1" applyProtection="1">
      <alignment horizontal="center" vertical="center" wrapText="1"/>
      <protection locked="0"/>
    </xf>
    <xf numFmtId="43" fontId="54" fillId="2" borderId="0" xfId="0" applyNumberFormat="1" applyFont="1" applyFill="1" applyBorder="1" applyAlignment="1" applyProtection="1">
      <alignment horizontal="center" vertical="center" wrapText="1"/>
      <protection locked="0"/>
    </xf>
    <xf numFmtId="43" fontId="56" fillId="2" borderId="0" xfId="0" applyNumberFormat="1" applyFont="1" applyFill="1" applyBorder="1" applyAlignment="1" applyProtection="1">
      <alignment horizontal="center" vertical="center" wrapText="1"/>
      <protection locked="0"/>
    </xf>
    <xf numFmtId="43" fontId="53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74" fillId="10" borderId="30" xfId="0" applyFont="1" applyFill="1" applyBorder="1" applyAlignment="1" applyProtection="1">
      <alignment horizontal="center" vertical="center" wrapText="1"/>
      <protection locked="0"/>
    </xf>
    <xf numFmtId="0" fontId="51" fillId="10" borderId="32" xfId="9" applyNumberFormat="1" applyFont="1" applyFill="1" applyBorder="1" applyAlignment="1">
      <alignment horizontal="center" vertical="center" wrapText="1"/>
    </xf>
    <xf numFmtId="0" fontId="58" fillId="2" borderId="3" xfId="0" applyFont="1" applyFill="1" applyBorder="1" applyAlignment="1">
      <alignment horizontal="center" vertical="center"/>
    </xf>
    <xf numFmtId="0" fontId="58" fillId="2" borderId="3" xfId="8" applyFont="1" applyFill="1" applyBorder="1" applyAlignment="1">
      <alignment horizontal="center" vertical="center"/>
    </xf>
    <xf numFmtId="0" fontId="58" fillId="2" borderId="3" xfId="2" applyFont="1" applyFill="1" applyBorder="1" applyAlignment="1">
      <alignment horizontal="center"/>
    </xf>
    <xf numFmtId="0" fontId="58" fillId="2" borderId="7" xfId="5" applyNumberFormat="1" applyFont="1" applyFill="1" applyBorder="1" applyAlignment="1">
      <alignment horizontal="center" vertical="center"/>
    </xf>
    <xf numFmtId="43" fontId="58" fillId="2" borderId="7" xfId="5" applyFont="1" applyFill="1" applyBorder="1" applyAlignment="1">
      <alignment horizontal="center" vertical="center"/>
    </xf>
    <xf numFmtId="43" fontId="58" fillId="2" borderId="8" xfId="5" applyFont="1" applyFill="1" applyBorder="1" applyAlignment="1">
      <alignment horizontal="center" vertical="center"/>
    </xf>
    <xf numFmtId="43" fontId="58" fillId="2" borderId="3" xfId="5" applyFont="1" applyFill="1" applyBorder="1" applyAlignment="1">
      <alignment horizontal="center" vertical="center"/>
    </xf>
    <xf numFmtId="43" fontId="58" fillId="2" borderId="6" xfId="5" applyFont="1" applyFill="1" applyBorder="1" applyAlignment="1">
      <alignment horizontal="center" vertical="center"/>
    </xf>
    <xf numFmtId="1" fontId="58" fillId="2" borderId="3" xfId="5" quotePrefix="1" applyNumberFormat="1" applyFont="1" applyFill="1" applyBorder="1" applyAlignment="1">
      <alignment horizontal="center" vertical="center"/>
    </xf>
    <xf numFmtId="43" fontId="58" fillId="2" borderId="3" xfId="5" quotePrefix="1" applyFont="1" applyFill="1" applyBorder="1" applyAlignment="1">
      <alignment horizontal="center" vertical="center"/>
    </xf>
    <xf numFmtId="0" fontId="58" fillId="2" borderId="1" xfId="2" applyFont="1" applyFill="1" applyBorder="1" applyAlignment="1">
      <alignment horizontal="center"/>
    </xf>
    <xf numFmtId="0" fontId="58" fillId="2" borderId="2" xfId="5" applyNumberFormat="1" applyFont="1" applyFill="1" applyBorder="1" applyAlignment="1">
      <alignment horizontal="center" vertical="center"/>
    </xf>
    <xf numFmtId="43" fontId="58" fillId="2" borderId="2" xfId="5" applyFont="1" applyFill="1" applyBorder="1" applyAlignment="1">
      <alignment horizontal="center" vertical="center"/>
    </xf>
    <xf numFmtId="43" fontId="58" fillId="2" borderId="42" xfId="5" applyFont="1" applyFill="1" applyBorder="1" applyAlignment="1">
      <alignment horizontal="center" vertical="center"/>
    </xf>
    <xf numFmtId="43" fontId="58" fillId="2" borderId="1" xfId="5" applyFont="1" applyFill="1" applyBorder="1" applyAlignment="1">
      <alignment horizontal="center" vertical="center"/>
    </xf>
    <xf numFmtId="0" fontId="58" fillId="2" borderId="1" xfId="5" applyNumberFormat="1" applyFont="1" applyFill="1" applyBorder="1" applyAlignment="1">
      <alignment horizontal="center" vertical="center"/>
    </xf>
    <xf numFmtId="43" fontId="58" fillId="2" borderId="5" xfId="5" applyFont="1" applyFill="1" applyBorder="1" applyAlignment="1">
      <alignment horizontal="center" vertical="center"/>
    </xf>
    <xf numFmtId="0" fontId="58" fillId="2" borderId="1" xfId="8" applyFont="1" applyFill="1" applyBorder="1" applyAlignment="1">
      <alignment horizontal="center" vertical="center"/>
    </xf>
    <xf numFmtId="43" fontId="58" fillId="2" borderId="4" xfId="5" applyFont="1" applyFill="1" applyBorder="1" applyAlignment="1">
      <alignment horizontal="center" vertical="center"/>
    </xf>
    <xf numFmtId="43" fontId="58" fillId="2" borderId="1" xfId="5" applyNumberFormat="1" applyFont="1" applyFill="1" applyBorder="1" applyAlignment="1">
      <alignment horizontal="center" vertical="center"/>
    </xf>
    <xf numFmtId="0" fontId="58" fillId="2" borderId="1" xfId="0" applyNumberFormat="1" applyFont="1" applyFill="1" applyBorder="1" applyAlignment="1">
      <alignment horizontal="center" vertical="center"/>
    </xf>
    <xf numFmtId="1" fontId="58" fillId="2" borderId="1" xfId="5" quotePrefix="1" applyNumberFormat="1" applyFont="1" applyFill="1" applyBorder="1" applyAlignment="1">
      <alignment horizontal="center" vertical="center"/>
    </xf>
    <xf numFmtId="43" fontId="58" fillId="2" borderId="3" xfId="5" applyNumberFormat="1" applyFont="1" applyFill="1" applyBorder="1" applyAlignment="1">
      <alignment horizontal="center" vertical="center"/>
    </xf>
    <xf numFmtId="43" fontId="58" fillId="2" borderId="1" xfId="5" quotePrefix="1" applyFont="1" applyFill="1" applyBorder="1" applyAlignment="1">
      <alignment horizontal="center" vertical="center"/>
    </xf>
    <xf numFmtId="0" fontId="53" fillId="2" borderId="0" xfId="0" applyNumberFormat="1" applyFont="1" applyFill="1" applyBorder="1" applyAlignment="1" applyProtection="1">
      <alignment horizontal="center" vertical="center"/>
    </xf>
    <xf numFmtId="0" fontId="53" fillId="2" borderId="0" xfId="0" applyNumberFormat="1" applyFont="1" applyFill="1" applyBorder="1" applyAlignment="1" applyProtection="1">
      <alignment horizontal="left" vertical="center" wrapText="1"/>
    </xf>
    <xf numFmtId="0" fontId="53" fillId="2" borderId="0" xfId="0" applyNumberFormat="1" applyFont="1" applyFill="1" applyBorder="1" applyAlignment="1" applyProtection="1"/>
    <xf numFmtId="0" fontId="53" fillId="2" borderId="0" xfId="0" applyNumberFormat="1" applyFont="1" applyFill="1" applyBorder="1" applyAlignment="1">
      <alignment horizontal="center" vertical="center"/>
    </xf>
    <xf numFmtId="43" fontId="55" fillId="20" borderId="1" xfId="0" applyNumberFormat="1" applyFont="1" applyFill="1" applyBorder="1" applyAlignment="1">
      <alignment horizontal="center" vertical="center" wrapText="1"/>
    </xf>
    <xf numFmtId="43" fontId="53" fillId="2" borderId="0" xfId="0" applyNumberFormat="1" applyFont="1" applyFill="1" applyBorder="1" applyAlignment="1">
      <alignment horizontal="center" vertical="center"/>
    </xf>
    <xf numFmtId="43" fontId="7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53" fillId="2" borderId="0" xfId="0" applyFont="1" applyFill="1"/>
    <xf numFmtId="0" fontId="58" fillId="0" borderId="1" xfId="0" applyFont="1" applyFill="1" applyBorder="1" applyAlignment="1">
      <alignment horizontal="right"/>
    </xf>
    <xf numFmtId="0" fontId="58" fillId="0" borderId="1" xfId="0" applyFont="1" applyFill="1" applyBorder="1" applyAlignment="1">
      <alignment horizontal="center" vertical="center"/>
    </xf>
    <xf numFmtId="4" fontId="58" fillId="0" borderId="1" xfId="5" applyNumberFormat="1" applyFont="1" applyFill="1" applyBorder="1" applyAlignment="1"/>
    <xf numFmtId="10" fontId="58" fillId="0" borderId="1" xfId="3" applyNumberFormat="1" applyFont="1" applyBorder="1"/>
    <xf numFmtId="4" fontId="58" fillId="0" borderId="1" xfId="5" applyNumberFormat="1" applyFont="1" applyFill="1" applyBorder="1" applyAlignment="1">
      <alignment horizontal="right"/>
    </xf>
    <xf numFmtId="4" fontId="58" fillId="0" borderId="1" xfId="5" applyNumberFormat="1" applyFont="1" applyBorder="1" applyAlignment="1">
      <alignment horizontal="right"/>
    </xf>
    <xf numFmtId="10" fontId="58" fillId="0" borderId="1" xfId="2" applyNumberFormat="1" applyFont="1" applyBorder="1"/>
    <xf numFmtId="10" fontId="55" fillId="20" borderId="1" xfId="0" applyNumberFormat="1" applyFont="1" applyFill="1" applyBorder="1" applyAlignment="1">
      <alignment horizontal="center" vertical="center" wrapText="1"/>
    </xf>
    <xf numFmtId="0" fontId="76" fillId="10" borderId="32" xfId="0" applyNumberFormat="1" applyFont="1" applyFill="1" applyBorder="1" applyAlignment="1" applyProtection="1">
      <alignment horizontal="center" vertical="center" wrapText="1"/>
      <protection locked="0"/>
    </xf>
    <xf numFmtId="0" fontId="53" fillId="2" borderId="1" xfId="2" applyFont="1" applyFill="1" applyBorder="1" applyAlignment="1">
      <alignment horizontal="center" vertical="center"/>
    </xf>
    <xf numFmtId="0" fontId="53" fillId="2" borderId="1" xfId="2" applyFont="1" applyFill="1" applyBorder="1" applyAlignment="1">
      <alignment horizontal="center" vertical="center" wrapText="1"/>
    </xf>
    <xf numFmtId="43" fontId="53" fillId="2" borderId="1" xfId="5" applyFont="1" applyFill="1" applyBorder="1" applyAlignment="1">
      <alignment horizontal="center" vertical="center"/>
    </xf>
    <xf numFmtId="0" fontId="58" fillId="2" borderId="61" xfId="0" applyNumberFormat="1" applyFont="1" applyFill="1" applyBorder="1" applyAlignment="1" applyProtection="1"/>
    <xf numFmtId="0" fontId="55" fillId="2" borderId="61" xfId="0" applyNumberFormat="1" applyFont="1" applyFill="1" applyBorder="1" applyAlignment="1" applyProtection="1">
      <alignment horizontal="right"/>
    </xf>
    <xf numFmtId="43" fontId="55" fillId="2" borderId="61" xfId="0" applyNumberFormat="1" applyFont="1" applyFill="1" applyBorder="1" applyAlignment="1">
      <alignment horizontal="center" vertical="center"/>
    </xf>
    <xf numFmtId="0" fontId="76" fillId="10" borderId="1" xfId="9" applyFont="1" applyFill="1" applyBorder="1" applyAlignment="1" applyProtection="1">
      <alignment horizontal="center" vertical="center" wrapText="1"/>
      <protection locked="0"/>
    </xf>
    <xf numFmtId="0" fontId="74" fillId="10" borderId="32" xfId="9" applyNumberFormat="1" applyFont="1" applyFill="1" applyBorder="1" applyAlignment="1">
      <alignment horizontal="center" vertical="center" wrapText="1"/>
    </xf>
    <xf numFmtId="43" fontId="74" fillId="10" borderId="32" xfId="5" applyFont="1" applyFill="1" applyBorder="1" applyAlignment="1">
      <alignment horizontal="center" vertical="center" wrapText="1"/>
    </xf>
    <xf numFmtId="43" fontId="74" fillId="10" borderId="32" xfId="10" applyFont="1" applyFill="1" applyBorder="1" applyAlignment="1">
      <alignment horizontal="center" vertical="center" wrapText="1"/>
    </xf>
    <xf numFmtId="0" fontId="51" fillId="10" borderId="1" xfId="0" applyNumberFormat="1" applyFont="1" applyFill="1" applyBorder="1" applyAlignment="1" applyProtection="1">
      <alignment horizontal="center" vertical="center"/>
      <protection locked="0"/>
    </xf>
    <xf numFmtId="43" fontId="74" fillId="10" borderId="1" xfId="0" applyNumberFormat="1" applyFont="1" applyFill="1" applyBorder="1" applyAlignment="1" applyProtection="1">
      <alignment horizontal="center" vertical="center"/>
      <protection locked="0"/>
    </xf>
    <xf numFmtId="0" fontId="74" fillId="10" borderId="1" xfId="0" applyNumberFormat="1" applyFont="1" applyFill="1" applyBorder="1" applyAlignment="1" applyProtection="1">
      <alignment horizontal="center" vertical="center"/>
      <protection locked="0"/>
    </xf>
    <xf numFmtId="0" fontId="51" fillId="18" borderId="32" xfId="9" applyNumberFormat="1" applyFont="1" applyFill="1" applyBorder="1" applyAlignment="1">
      <alignment horizontal="center" vertical="center" wrapText="1"/>
    </xf>
    <xf numFmtId="0" fontId="53" fillId="2" borderId="3" xfId="0" applyFont="1" applyFill="1" applyBorder="1" applyAlignment="1">
      <alignment horizontal="center" vertical="center" wrapText="1"/>
    </xf>
    <xf numFmtId="0" fontId="53" fillId="2" borderId="3" xfId="2" applyFont="1" applyFill="1" applyBorder="1" applyAlignment="1">
      <alignment horizontal="center" vertical="center" wrapText="1"/>
    </xf>
    <xf numFmtId="0" fontId="53" fillId="2" borderId="3" xfId="0" applyFont="1" applyFill="1" applyBorder="1" applyAlignment="1">
      <alignment horizontal="left" vertical="center" wrapText="1"/>
    </xf>
    <xf numFmtId="1" fontId="53" fillId="2" borderId="3" xfId="5" applyNumberFormat="1" applyFont="1" applyFill="1" applyBorder="1" applyAlignment="1">
      <alignment horizontal="center" vertical="center" wrapText="1"/>
    </xf>
    <xf numFmtId="43" fontId="53" fillId="2" borderId="3" xfId="5" applyFont="1" applyFill="1" applyBorder="1" applyAlignment="1">
      <alignment horizontal="center" vertical="center" wrapText="1"/>
    </xf>
    <xf numFmtId="43" fontId="53" fillId="2" borderId="1" xfId="5" applyFont="1" applyFill="1" applyBorder="1" applyAlignment="1">
      <alignment horizontal="center" vertical="center" wrapText="1"/>
    </xf>
    <xf numFmtId="14" fontId="53" fillId="2" borderId="3" xfId="5" applyNumberFormat="1" applyFont="1" applyFill="1" applyBorder="1" applyAlignment="1">
      <alignment horizontal="center" vertical="center" wrapText="1"/>
    </xf>
    <xf numFmtId="43" fontId="53" fillId="2" borderId="3" xfId="5" applyFont="1" applyFill="1" applyBorder="1" applyAlignment="1">
      <alignment horizontal="left" vertical="center" wrapText="1"/>
    </xf>
    <xf numFmtId="0" fontId="53" fillId="2" borderId="1" xfId="0" applyFont="1" applyFill="1" applyBorder="1" applyAlignment="1">
      <alignment horizontal="center" vertical="center" wrapText="1"/>
    </xf>
    <xf numFmtId="1" fontId="53" fillId="2" borderId="1" xfId="5" applyNumberFormat="1" applyFont="1" applyFill="1" applyBorder="1" applyAlignment="1">
      <alignment horizontal="center" vertical="center" wrapText="1"/>
    </xf>
    <xf numFmtId="14" fontId="53" fillId="2" borderId="1" xfId="5" applyNumberFormat="1" applyFont="1" applyFill="1" applyBorder="1" applyAlignment="1">
      <alignment horizontal="center" vertical="center" wrapText="1"/>
    </xf>
    <xf numFmtId="0" fontId="53" fillId="2" borderId="1" xfId="0" applyFont="1" applyFill="1" applyBorder="1" applyAlignment="1">
      <alignment horizontal="left" vertical="center" wrapText="1"/>
    </xf>
    <xf numFmtId="0" fontId="53" fillId="2" borderId="28" xfId="0" applyNumberFormat="1" applyFont="1" applyFill="1" applyBorder="1" applyAlignment="1" applyProtection="1">
      <alignment horizontal="center" vertical="center"/>
    </xf>
    <xf numFmtId="0" fontId="53" fillId="2" borderId="28" xfId="0" applyFont="1" applyFill="1" applyBorder="1"/>
    <xf numFmtId="0" fontId="53" fillId="2" borderId="28" xfId="0" applyNumberFormat="1" applyFont="1" applyFill="1" applyBorder="1" applyAlignment="1" applyProtection="1">
      <alignment horizontal="left" vertical="center" wrapText="1"/>
    </xf>
    <xf numFmtId="43" fontId="55" fillId="19" borderId="1" xfId="0" applyNumberFormat="1" applyFont="1" applyFill="1" applyBorder="1" applyAlignment="1">
      <alignment horizontal="center" vertical="center" wrapText="1"/>
    </xf>
    <xf numFmtId="0" fontId="53" fillId="2" borderId="28" xfId="0" applyNumberFormat="1" applyFont="1" applyFill="1" applyBorder="1" applyAlignment="1">
      <alignment horizontal="center" vertical="center"/>
    </xf>
    <xf numFmtId="0" fontId="53" fillId="2" borderId="1" xfId="0" applyFont="1" applyFill="1" applyBorder="1" applyAlignment="1">
      <alignment horizontal="center" vertical="center"/>
    </xf>
    <xf numFmtId="2" fontId="53" fillId="2" borderId="1" xfId="0" applyNumberFormat="1" applyFont="1" applyFill="1" applyBorder="1" applyAlignment="1">
      <alignment horizontal="center" vertical="center"/>
    </xf>
    <xf numFmtId="0" fontId="51" fillId="10" borderId="32" xfId="0" applyNumberFormat="1" applyFont="1" applyFill="1" applyBorder="1" applyAlignment="1" applyProtection="1">
      <alignment horizontal="center" vertical="center" wrapText="1"/>
      <protection locked="0"/>
    </xf>
    <xf numFmtId="0" fontId="53" fillId="0" borderId="3" xfId="0" applyFont="1" applyFill="1" applyBorder="1" applyAlignment="1">
      <alignment horizontal="right"/>
    </xf>
    <xf numFmtId="0" fontId="53" fillId="0" borderId="3" xfId="0" applyFont="1" applyFill="1" applyBorder="1" applyAlignment="1">
      <alignment horizontal="center" vertical="center" wrapText="1"/>
    </xf>
    <xf numFmtId="43" fontId="53" fillId="0" borderId="3" xfId="5" applyFont="1" applyFill="1" applyBorder="1" applyAlignment="1">
      <alignment horizontal="center" vertical="center" wrapText="1"/>
    </xf>
    <xf numFmtId="9" fontId="53" fillId="2" borderId="3" xfId="3" applyFont="1" applyFill="1" applyBorder="1" applyAlignment="1">
      <alignment horizontal="center" vertical="center" wrapText="1"/>
    </xf>
    <xf numFmtId="43" fontId="53" fillId="0" borderId="3" xfId="5" applyFont="1" applyBorder="1" applyAlignment="1">
      <alignment horizontal="center" vertical="center" wrapText="1"/>
    </xf>
    <xf numFmtId="9" fontId="53" fillId="0" borderId="3" xfId="3" applyFont="1" applyBorder="1" applyAlignment="1">
      <alignment horizontal="center" vertical="center" wrapText="1"/>
    </xf>
    <xf numFmtId="43" fontId="55" fillId="19" borderId="1" xfId="5" applyFont="1" applyFill="1" applyBorder="1" applyAlignment="1">
      <alignment horizontal="center" vertical="center" wrapText="1"/>
    </xf>
    <xf numFmtId="9" fontId="55" fillId="19" borderId="1" xfId="3" applyFont="1" applyFill="1" applyBorder="1" applyAlignment="1">
      <alignment horizontal="center" vertical="center" wrapText="1"/>
    </xf>
    <xf numFmtId="0" fontId="51" fillId="10" borderId="1" xfId="9" applyFont="1" applyFill="1" applyBorder="1" applyAlignment="1" applyProtection="1">
      <alignment horizontal="center" vertical="center" wrapText="1"/>
      <protection locked="0"/>
    </xf>
    <xf numFmtId="1" fontId="53" fillId="2" borderId="1" xfId="2" applyNumberFormat="1" applyFont="1" applyFill="1" applyBorder="1" applyAlignment="1">
      <alignment horizontal="center" vertical="center"/>
    </xf>
    <xf numFmtId="0" fontId="58" fillId="2" borderId="63" xfId="0" applyNumberFormat="1" applyFont="1" applyFill="1" applyBorder="1" applyAlignment="1" applyProtection="1">
      <alignment horizontal="center" vertical="center"/>
    </xf>
    <xf numFmtId="0" fontId="58" fillId="2" borderId="62" xfId="0" applyNumberFormat="1" applyFont="1" applyFill="1" applyBorder="1" applyAlignment="1" applyProtection="1">
      <alignment horizontal="center" vertical="center"/>
    </xf>
    <xf numFmtId="0" fontId="58" fillId="2" borderId="63" xfId="0" applyNumberFormat="1" applyFont="1" applyFill="1" applyBorder="1" applyAlignment="1">
      <alignment horizontal="center" vertical="center"/>
    </xf>
    <xf numFmtId="43" fontId="58" fillId="2" borderId="28" xfId="0" applyNumberFormat="1" applyFont="1" applyFill="1" applyBorder="1" applyAlignment="1">
      <alignment horizontal="center" vertical="center"/>
    </xf>
    <xf numFmtId="0" fontId="77" fillId="2" borderId="0" xfId="0" applyFont="1" applyFill="1" applyAlignment="1">
      <alignment horizontal="center" vertical="center"/>
    </xf>
    <xf numFmtId="0" fontId="77" fillId="2" borderId="0" xfId="0" applyFont="1" applyFill="1" applyAlignment="1">
      <alignment horizontal="center" vertical="center" wrapText="1"/>
    </xf>
    <xf numFmtId="0" fontId="77" fillId="2" borderId="0" xfId="0" applyFont="1" applyFill="1" applyBorder="1" applyAlignment="1">
      <alignment horizontal="center" vertical="center" wrapText="1"/>
    </xf>
    <xf numFmtId="0" fontId="77" fillId="2" borderId="30" xfId="0" applyFont="1" applyFill="1" applyBorder="1" applyAlignment="1">
      <alignment horizontal="center" vertical="center"/>
    </xf>
    <xf numFmtId="0" fontId="79" fillId="10" borderId="50" xfId="0" applyFont="1" applyFill="1" applyBorder="1" applyAlignment="1" applyProtection="1">
      <alignment horizontal="center" vertical="center" wrapText="1"/>
      <protection locked="0"/>
    </xf>
    <xf numFmtId="0" fontId="79" fillId="10" borderId="31" xfId="0" applyFont="1" applyFill="1" applyBorder="1" applyAlignment="1" applyProtection="1">
      <alignment horizontal="center" vertical="center" wrapText="1"/>
      <protection locked="0"/>
    </xf>
    <xf numFmtId="0" fontId="82" fillId="10" borderId="31" xfId="0" applyFont="1" applyFill="1" applyBorder="1" applyAlignment="1" applyProtection="1">
      <alignment horizontal="center" vertical="center" wrapText="1"/>
      <protection locked="0"/>
    </xf>
    <xf numFmtId="0" fontId="82" fillId="10" borderId="49" xfId="0" applyFont="1" applyFill="1" applyBorder="1" applyAlignment="1" applyProtection="1">
      <alignment horizontal="center" vertical="center" wrapText="1"/>
      <protection locked="0"/>
    </xf>
    <xf numFmtId="2" fontId="80" fillId="0" borderId="54" xfId="0" applyNumberFormat="1" applyFont="1" applyFill="1" applyBorder="1" applyAlignment="1">
      <alignment horizontal="right" vertical="center"/>
    </xf>
    <xf numFmtId="43" fontId="80" fillId="0" borderId="3" xfId="10" applyFont="1" applyFill="1" applyBorder="1" applyAlignment="1">
      <alignment horizontal="center"/>
    </xf>
    <xf numFmtId="10" fontId="80" fillId="0" borderId="3" xfId="3" applyNumberFormat="1" applyFont="1" applyFill="1" applyBorder="1" applyAlignment="1">
      <alignment horizontal="center"/>
    </xf>
    <xf numFmtId="43" fontId="80" fillId="0" borderId="55" xfId="10" applyFont="1" applyFill="1" applyBorder="1" applyAlignment="1">
      <alignment horizontal="center"/>
    </xf>
    <xf numFmtId="2" fontId="80" fillId="0" borderId="56" xfId="0" applyNumberFormat="1" applyFont="1" applyFill="1" applyBorder="1" applyAlignment="1">
      <alignment horizontal="right" vertical="center"/>
    </xf>
    <xf numFmtId="43" fontId="80" fillId="0" borderId="1" xfId="10" applyFont="1" applyFill="1" applyBorder="1" applyAlignment="1">
      <alignment horizontal="center"/>
    </xf>
    <xf numFmtId="10" fontId="80" fillId="0" borderId="1" xfId="3" applyNumberFormat="1" applyFont="1" applyFill="1" applyBorder="1" applyAlignment="1">
      <alignment horizontal="center"/>
    </xf>
    <xf numFmtId="43" fontId="80" fillId="0" borderId="57" xfId="10" applyFont="1" applyFill="1" applyBorder="1" applyAlignment="1">
      <alignment horizontal="center"/>
    </xf>
    <xf numFmtId="0" fontId="83" fillId="15" borderId="56" xfId="0" applyFont="1" applyFill="1" applyBorder="1" applyAlignment="1">
      <alignment horizontal="left"/>
    </xf>
    <xf numFmtId="43" fontId="84" fillId="15" borderId="1" xfId="10" applyFont="1" applyFill="1" applyBorder="1" applyAlignment="1">
      <alignment horizontal="center"/>
    </xf>
    <xf numFmtId="10" fontId="84" fillId="15" borderId="1" xfId="3" applyNumberFormat="1" applyFont="1" applyFill="1" applyBorder="1" applyAlignment="1">
      <alignment horizontal="center"/>
    </xf>
    <xf numFmtId="43" fontId="84" fillId="15" borderId="57" xfId="10" applyFont="1" applyFill="1" applyBorder="1" applyAlignment="1">
      <alignment horizontal="center"/>
    </xf>
    <xf numFmtId="0" fontId="77" fillId="2" borderId="0" xfId="0" applyFont="1" applyFill="1" applyBorder="1" applyAlignment="1">
      <alignment horizontal="center" vertical="center"/>
    </xf>
    <xf numFmtId="0" fontId="83" fillId="16" borderId="58" xfId="0" applyNumberFormat="1" applyFont="1" applyFill="1" applyBorder="1" applyAlignment="1" applyProtection="1"/>
    <xf numFmtId="43" fontId="84" fillId="16" borderId="59" xfId="0" applyNumberFormat="1" applyFont="1" applyFill="1" applyBorder="1" applyAlignment="1">
      <alignment horizontal="center"/>
    </xf>
    <xf numFmtId="10" fontId="84" fillId="16" borderId="59" xfId="0" applyNumberFormat="1" applyFont="1" applyFill="1" applyBorder="1" applyAlignment="1">
      <alignment horizontal="center"/>
    </xf>
    <xf numFmtId="43" fontId="84" fillId="16" borderId="60" xfId="0" applyNumberFormat="1" applyFont="1" applyFill="1" applyBorder="1" applyAlignment="1">
      <alignment horizontal="center"/>
    </xf>
    <xf numFmtId="0" fontId="79" fillId="2" borderId="0" xfId="0" applyFont="1" applyFill="1" applyBorder="1" applyAlignment="1">
      <alignment horizontal="center" vertical="center"/>
    </xf>
    <xf numFmtId="0" fontId="83" fillId="16" borderId="0" xfId="0" applyNumberFormat="1" applyFont="1" applyFill="1" applyBorder="1" applyAlignment="1" applyProtection="1"/>
    <xf numFmtId="43" fontId="84" fillId="16" borderId="0" xfId="5" applyFont="1" applyFill="1" applyBorder="1" applyAlignment="1">
      <alignment horizontal="right" wrapText="1"/>
    </xf>
    <xf numFmtId="0" fontId="83" fillId="15" borderId="0" xfId="0" applyFont="1" applyFill="1" applyBorder="1" applyAlignment="1">
      <alignment horizontal="left"/>
    </xf>
    <xf numFmtId="2" fontId="83" fillId="15" borderId="0" xfId="0" applyNumberFormat="1" applyFont="1" applyFill="1" applyBorder="1" applyAlignment="1">
      <alignment horizontal="center"/>
    </xf>
    <xf numFmtId="4" fontId="80" fillId="2" borderId="0" xfId="0" applyNumberFormat="1" applyFont="1" applyFill="1" applyBorder="1" applyAlignment="1">
      <alignment horizontal="center" vertical="center"/>
    </xf>
    <xf numFmtId="0" fontId="77" fillId="2" borderId="0" xfId="0" applyNumberFormat="1" applyFont="1" applyFill="1" applyBorder="1" applyAlignment="1" applyProtection="1">
      <alignment horizontal="center" vertical="center"/>
    </xf>
    <xf numFmtId="43" fontId="77" fillId="2" borderId="0" xfId="5" applyFont="1" applyFill="1" applyBorder="1" applyAlignment="1" applyProtection="1">
      <alignment horizontal="center" vertical="center"/>
    </xf>
    <xf numFmtId="0" fontId="77" fillId="2" borderId="0" xfId="5" applyNumberFormat="1" applyFont="1" applyFill="1" applyAlignment="1" applyProtection="1">
      <alignment horizontal="center" vertical="center"/>
    </xf>
    <xf numFmtId="0" fontId="77" fillId="2" borderId="0" xfId="0" applyFont="1" applyFill="1" applyBorder="1" applyAlignment="1">
      <alignment horizontal="left" vertical="center"/>
    </xf>
    <xf numFmtId="4" fontId="80" fillId="2" borderId="0" xfId="5" applyNumberFormat="1" applyFont="1" applyFill="1" applyBorder="1" applyAlignment="1">
      <alignment horizontal="right" vertical="center"/>
    </xf>
    <xf numFmtId="43" fontId="83" fillId="15" borderId="0" xfId="5" applyFont="1" applyFill="1" applyBorder="1" applyAlignment="1">
      <alignment horizontal="left"/>
    </xf>
    <xf numFmtId="164" fontId="86" fillId="2" borderId="0" xfId="5" applyNumberFormat="1" applyFont="1" applyFill="1" applyAlignment="1">
      <alignment horizontal="center" vertical="center"/>
    </xf>
    <xf numFmtId="10" fontId="80" fillId="2" borderId="0" xfId="3" applyNumberFormat="1" applyFont="1" applyFill="1" applyBorder="1" applyAlignment="1">
      <alignment horizontal="right" vertical="center"/>
    </xf>
    <xf numFmtId="0" fontId="85" fillId="10" borderId="50" xfId="0" applyFont="1" applyFill="1" applyBorder="1" applyAlignment="1" applyProtection="1">
      <alignment horizontal="center" vertical="center" wrapText="1"/>
      <protection locked="0"/>
    </xf>
    <xf numFmtId="0" fontId="85" fillId="10" borderId="31" xfId="0" applyFont="1" applyFill="1" applyBorder="1" applyAlignment="1" applyProtection="1">
      <alignment horizontal="center" vertical="center" wrapText="1"/>
      <protection locked="0"/>
    </xf>
    <xf numFmtId="0" fontId="85" fillId="10" borderId="49" xfId="0" applyFont="1" applyFill="1" applyBorder="1" applyAlignment="1" applyProtection="1">
      <alignment horizontal="center" vertical="center" wrapText="1"/>
      <protection locked="0"/>
    </xf>
    <xf numFmtId="0" fontId="74" fillId="10" borderId="33" xfId="0" applyFont="1" applyFill="1" applyBorder="1" applyAlignment="1">
      <alignment horizontal="center" vertical="center" wrapText="1"/>
    </xf>
    <xf numFmtId="10" fontId="0" fillId="0" borderId="0" xfId="0" applyNumberFormat="1"/>
    <xf numFmtId="2" fontId="88" fillId="0" borderId="54" xfId="0" applyNumberFormat="1" applyFont="1" applyFill="1" applyBorder="1" applyAlignment="1">
      <alignment horizontal="right" vertical="center"/>
    </xf>
    <xf numFmtId="2" fontId="88" fillId="0" borderId="56" xfId="0" applyNumberFormat="1" applyFont="1" applyFill="1" applyBorder="1" applyAlignment="1">
      <alignment horizontal="right" vertical="center"/>
    </xf>
    <xf numFmtId="0" fontId="88" fillId="0" borderId="56" xfId="0" applyFont="1" applyFill="1" applyBorder="1" applyAlignment="1">
      <alignment horizontal="right" vertical="center"/>
    </xf>
    <xf numFmtId="0" fontId="88" fillId="0" borderId="1" xfId="0" applyFont="1" applyFill="1" applyBorder="1" applyAlignment="1">
      <alignment horizontal="right" vertical="center"/>
    </xf>
    <xf numFmtId="0" fontId="2" fillId="0" borderId="0" xfId="9"/>
    <xf numFmtId="0" fontId="2" fillId="0" borderId="0" xfId="9" applyNumberFormat="1"/>
    <xf numFmtId="0" fontId="2" fillId="0" borderId="0" xfId="0" applyNumberFormat="1" applyFont="1" applyFill="1" applyBorder="1" applyAlignment="1" applyProtection="1"/>
    <xf numFmtId="0" fontId="51" fillId="10" borderId="41" xfId="0" applyFont="1" applyFill="1" applyBorder="1" applyAlignment="1" applyProtection="1">
      <alignment horizontal="center" vertical="center" wrapText="1"/>
      <protection locked="0"/>
    </xf>
    <xf numFmtId="0" fontId="30" fillId="12" borderId="12" xfId="0" applyFont="1" applyFill="1" applyBorder="1" applyAlignment="1">
      <alignment horizontal="center" vertical="center" wrapText="1"/>
    </xf>
    <xf numFmtId="0" fontId="30" fillId="12" borderId="13" xfId="0" applyFont="1" applyFill="1" applyBorder="1" applyAlignment="1">
      <alignment horizontal="center" vertical="center" wrapText="1"/>
    </xf>
    <xf numFmtId="0" fontId="30" fillId="12" borderId="40" xfId="0" applyFont="1" applyFill="1" applyBorder="1" applyAlignment="1">
      <alignment horizontal="center" vertical="center" wrapText="1"/>
    </xf>
    <xf numFmtId="0" fontId="30" fillId="12" borderId="16" xfId="0" applyFont="1" applyFill="1" applyBorder="1" applyAlignment="1">
      <alignment horizontal="center" vertical="center" wrapText="1"/>
    </xf>
    <xf numFmtId="0" fontId="30" fillId="12" borderId="0" xfId="0" applyFont="1" applyFill="1" applyBorder="1" applyAlignment="1">
      <alignment horizontal="center" vertical="center" wrapText="1"/>
    </xf>
    <xf numFmtId="0" fontId="30" fillId="12" borderId="21" xfId="0" applyFont="1" applyFill="1" applyBorder="1" applyAlignment="1">
      <alignment horizontal="center" vertical="center" wrapText="1"/>
    </xf>
    <xf numFmtId="0" fontId="30" fillId="12" borderId="19" xfId="0" applyFont="1" applyFill="1" applyBorder="1" applyAlignment="1">
      <alignment horizontal="center" vertical="center" wrapText="1"/>
    </xf>
    <xf numFmtId="0" fontId="30" fillId="12" borderId="11" xfId="0" applyFont="1" applyFill="1" applyBorder="1" applyAlignment="1">
      <alignment horizontal="center" vertical="center" wrapText="1"/>
    </xf>
    <xf numFmtId="0" fontId="30" fillId="12" borderId="20" xfId="0" applyFont="1" applyFill="1" applyBorder="1" applyAlignment="1">
      <alignment horizontal="center" vertical="center" wrapText="1"/>
    </xf>
    <xf numFmtId="0" fontId="12" fillId="0" borderId="11" xfId="0" applyFont="1" applyBorder="1" applyAlignment="1">
      <alignment horizontal="center" wrapText="1"/>
    </xf>
    <xf numFmtId="0" fontId="74" fillId="10" borderId="32" xfId="4" applyFont="1" applyFill="1" applyBorder="1" applyAlignment="1" applyProtection="1">
      <alignment horizontal="center" vertical="center"/>
      <protection locked="0"/>
    </xf>
    <xf numFmtId="0" fontId="66" fillId="10" borderId="32" xfId="4" applyFont="1" applyFill="1" applyBorder="1" applyAlignment="1" applyProtection="1">
      <alignment horizontal="center" vertical="center"/>
      <protection locked="0"/>
    </xf>
    <xf numFmtId="0" fontId="72" fillId="14" borderId="66" xfId="4" applyFont="1" applyFill="1" applyBorder="1" applyAlignment="1" applyProtection="1">
      <alignment horizontal="center" vertical="center"/>
      <protection locked="0"/>
    </xf>
    <xf numFmtId="0" fontId="72" fillId="14" borderId="36" xfId="4" applyFont="1" applyFill="1" applyBorder="1" applyAlignment="1" applyProtection="1">
      <alignment horizontal="center" vertical="center"/>
      <protection locked="0"/>
    </xf>
    <xf numFmtId="0" fontId="72" fillId="14" borderId="67" xfId="4" applyFont="1" applyFill="1" applyBorder="1" applyAlignment="1" applyProtection="1">
      <alignment horizontal="center" vertical="center"/>
      <protection locked="0"/>
    </xf>
    <xf numFmtId="0" fontId="74" fillId="10" borderId="65" xfId="4" applyFont="1" applyFill="1" applyBorder="1" applyAlignment="1" applyProtection="1">
      <alignment horizontal="center" vertical="center"/>
      <protection locked="0"/>
    </xf>
    <xf numFmtId="0" fontId="74" fillId="10" borderId="64" xfId="4" applyFont="1" applyFill="1" applyBorder="1" applyAlignment="1" applyProtection="1">
      <alignment horizontal="center" vertical="center"/>
      <protection locked="0"/>
    </xf>
    <xf numFmtId="0" fontId="72" fillId="14" borderId="68" xfId="4" applyFont="1" applyFill="1" applyBorder="1" applyAlignment="1" applyProtection="1">
      <alignment horizontal="center" vertical="center"/>
      <protection locked="0"/>
    </xf>
    <xf numFmtId="0" fontId="72" fillId="14" borderId="69" xfId="4" applyFont="1" applyFill="1" applyBorder="1" applyAlignment="1" applyProtection="1">
      <alignment horizontal="center" vertical="center"/>
      <protection locked="0"/>
    </xf>
    <xf numFmtId="0" fontId="72" fillId="14" borderId="70" xfId="4" applyFont="1" applyFill="1" applyBorder="1" applyAlignment="1" applyProtection="1">
      <alignment horizontal="center" vertical="center"/>
      <protection locked="0"/>
    </xf>
    <xf numFmtId="0" fontId="72" fillId="14" borderId="33" xfId="4" applyFont="1" applyFill="1" applyBorder="1" applyAlignment="1" applyProtection="1">
      <alignment horizontal="center" vertical="center"/>
      <protection locked="0"/>
    </xf>
    <xf numFmtId="0" fontId="72" fillId="14" borderId="34" xfId="4" applyFont="1" applyFill="1" applyBorder="1" applyAlignment="1" applyProtection="1">
      <alignment horizontal="center" vertical="center"/>
      <protection locked="0"/>
    </xf>
    <xf numFmtId="0" fontId="72" fillId="14" borderId="35" xfId="4" applyFont="1" applyFill="1" applyBorder="1" applyAlignment="1" applyProtection="1">
      <alignment horizontal="center" vertical="center"/>
      <protection locked="0"/>
    </xf>
    <xf numFmtId="0" fontId="76" fillId="10" borderId="31" xfId="4" applyFont="1" applyFill="1" applyBorder="1" applyAlignment="1" applyProtection="1">
      <alignment horizontal="center" vertical="center"/>
      <protection locked="0"/>
    </xf>
    <xf numFmtId="0" fontId="76" fillId="10" borderId="1" xfId="4" applyFont="1" applyFill="1" applyBorder="1" applyAlignment="1" applyProtection="1">
      <alignment horizontal="center" vertical="center"/>
      <protection locked="0"/>
    </xf>
    <xf numFmtId="0" fontId="78" fillId="10" borderId="33" xfId="4" applyFont="1" applyFill="1" applyBorder="1" applyAlignment="1" applyProtection="1">
      <alignment horizontal="right" vertical="center"/>
      <protection locked="0"/>
    </xf>
    <xf numFmtId="0" fontId="78" fillId="10" borderId="35" xfId="4" applyFont="1" applyFill="1" applyBorder="1" applyAlignment="1" applyProtection="1">
      <alignment horizontal="right" vertical="center"/>
      <protection locked="0"/>
    </xf>
    <xf numFmtId="10" fontId="25" fillId="8" borderId="33" xfId="3" applyNumberFormat="1" applyFont="1" applyFill="1" applyBorder="1" applyAlignment="1">
      <alignment horizontal="left" vertical="center" wrapText="1"/>
    </xf>
    <xf numFmtId="10" fontId="25" fillId="8" borderId="35" xfId="3" applyNumberFormat="1" applyFont="1" applyFill="1" applyBorder="1" applyAlignment="1">
      <alignment horizontal="left" vertical="center" wrapText="1"/>
    </xf>
    <xf numFmtId="0" fontId="66" fillId="10" borderId="1" xfId="4" applyFont="1" applyFill="1" applyBorder="1" applyAlignment="1" applyProtection="1">
      <alignment horizontal="center" vertical="center"/>
      <protection locked="0"/>
    </xf>
    <xf numFmtId="0" fontId="66" fillId="18" borderId="33" xfId="4" applyFont="1" applyFill="1" applyBorder="1" applyAlignment="1" applyProtection="1">
      <alignment horizontal="center" vertical="center"/>
      <protection locked="0"/>
    </xf>
    <xf numFmtId="0" fontId="66" fillId="18" borderId="34" xfId="4" applyFont="1" applyFill="1" applyBorder="1" applyAlignment="1" applyProtection="1">
      <alignment horizontal="center" vertical="center"/>
      <protection locked="0"/>
    </xf>
    <xf numFmtId="0" fontId="66" fillId="10" borderId="38" xfId="4" applyFont="1" applyFill="1" applyBorder="1" applyAlignment="1" applyProtection="1">
      <alignment horizontal="center" vertical="center"/>
      <protection locked="0"/>
    </xf>
    <xf numFmtId="0" fontId="66" fillId="10" borderId="39" xfId="4" applyFont="1" applyFill="1" applyBorder="1" applyAlignment="1" applyProtection="1">
      <alignment horizontal="center" vertical="center"/>
      <protection locked="0"/>
    </xf>
    <xf numFmtId="0" fontId="44" fillId="10" borderId="51" xfId="4" applyFont="1" applyFill="1" applyBorder="1" applyAlignment="1" applyProtection="1">
      <alignment horizontal="center" vertical="center"/>
      <protection locked="0"/>
    </xf>
    <xf numFmtId="0" fontId="44" fillId="10" borderId="52" xfId="4" applyFont="1" applyFill="1" applyBorder="1" applyAlignment="1" applyProtection="1">
      <alignment horizontal="center" vertical="center"/>
      <protection locked="0"/>
    </xf>
    <xf numFmtId="0" fontId="44" fillId="10" borderId="53" xfId="4" applyFont="1" applyFill="1" applyBorder="1" applyAlignment="1" applyProtection="1">
      <alignment horizontal="center" vertical="center"/>
      <protection locked="0"/>
    </xf>
    <xf numFmtId="0" fontId="38" fillId="8" borderId="32" xfId="5" applyNumberFormat="1" applyFont="1" applyFill="1" applyBorder="1" applyAlignment="1">
      <alignment horizontal="center" vertical="center" wrapText="1"/>
    </xf>
    <xf numFmtId="0" fontId="46" fillId="10" borderId="32" xfId="9" applyNumberFormat="1" applyFont="1" applyFill="1" applyBorder="1" applyAlignment="1">
      <alignment horizontal="center" vertical="center" wrapText="1"/>
    </xf>
    <xf numFmtId="14" fontId="38" fillId="8" borderId="32" xfId="5" applyNumberFormat="1" applyFont="1" applyFill="1" applyBorder="1" applyAlignment="1">
      <alignment horizontal="center" vertical="center" wrapText="1"/>
    </xf>
    <xf numFmtId="0" fontId="85" fillId="10" borderId="51" xfId="4" applyFont="1" applyFill="1" applyBorder="1" applyAlignment="1" applyProtection="1">
      <alignment horizontal="center" vertical="center"/>
      <protection locked="0"/>
    </xf>
    <xf numFmtId="0" fontId="85" fillId="10" borderId="52" xfId="4" applyFont="1" applyFill="1" applyBorder="1" applyAlignment="1" applyProtection="1">
      <alignment horizontal="center" vertical="center"/>
      <protection locked="0"/>
    </xf>
    <xf numFmtId="0" fontId="85" fillId="10" borderId="53" xfId="4" applyFont="1" applyFill="1" applyBorder="1" applyAlignment="1" applyProtection="1">
      <alignment horizontal="center" vertical="center"/>
      <protection locked="0"/>
    </xf>
    <xf numFmtId="0" fontId="85" fillId="10" borderId="48" xfId="0" applyFont="1" applyFill="1" applyBorder="1" applyAlignment="1" applyProtection="1">
      <alignment horizontal="center" vertical="center" wrapText="1"/>
      <protection locked="0"/>
    </xf>
    <xf numFmtId="1" fontId="87" fillId="0" borderId="48" xfId="0" applyNumberFormat="1" applyFont="1" applyFill="1" applyBorder="1" applyAlignment="1" applyProtection="1">
      <alignment horizontal="center" vertical="center" wrapText="1"/>
      <protection locked="0"/>
    </xf>
    <xf numFmtId="0" fontId="85" fillId="10" borderId="32" xfId="9" applyNumberFormat="1" applyFont="1" applyFill="1" applyBorder="1" applyAlignment="1">
      <alignment horizontal="center" vertical="center" wrapText="1"/>
    </xf>
    <xf numFmtId="0" fontId="80" fillId="8" borderId="32" xfId="5" applyNumberFormat="1" applyFont="1" applyFill="1" applyBorder="1" applyAlignment="1">
      <alignment horizontal="center" vertical="center" wrapText="1"/>
    </xf>
    <xf numFmtId="14" fontId="80" fillId="8" borderId="32" xfId="5" applyNumberFormat="1" applyFont="1" applyFill="1" applyBorder="1" applyAlignment="1">
      <alignment horizontal="center" vertical="center" wrapText="1"/>
    </xf>
    <xf numFmtId="0" fontId="81" fillId="10" borderId="51" xfId="4" applyFont="1" applyFill="1" applyBorder="1" applyAlignment="1" applyProtection="1">
      <alignment horizontal="center" vertical="center"/>
      <protection locked="0"/>
    </xf>
    <xf numFmtId="0" fontId="81" fillId="10" borderId="52" xfId="4" applyFont="1" applyFill="1" applyBorder="1" applyAlignment="1" applyProtection="1">
      <alignment horizontal="center" vertical="center"/>
      <protection locked="0"/>
    </xf>
    <xf numFmtId="0" fontId="81" fillId="10" borderId="53" xfId="4" applyFont="1" applyFill="1" applyBorder="1" applyAlignment="1" applyProtection="1">
      <alignment horizontal="center" vertical="center"/>
      <protection locked="0"/>
    </xf>
    <xf numFmtId="0" fontId="26" fillId="10" borderId="32" xfId="9" applyNumberFormat="1" applyFont="1" applyFill="1" applyBorder="1" applyAlignment="1">
      <alignment horizontal="center" vertical="center" wrapText="1"/>
    </xf>
  </cellXfs>
  <cellStyles count="11">
    <cellStyle name="Dziesiętny" xfId="5" builtinId="3"/>
    <cellStyle name="Dziesiętny 2" xfId="10"/>
    <cellStyle name="Nagłówek Suez" xfId="7"/>
    <cellStyle name="Normalny" xfId="0" builtinId="0"/>
    <cellStyle name="Normalny 2" xfId="9"/>
    <cellStyle name="Normalny 3" xfId="1"/>
    <cellStyle name="Normalny 3 2" xfId="2"/>
    <cellStyle name="Normalny 4" xfId="4"/>
    <cellStyle name="Normalny 5" xfId="6"/>
    <cellStyle name="Normalny_PMPL Koszty sprzęt+pracownicy 2007-07-25" xfId="8"/>
    <cellStyle name="Procentowy" xfId="3" builtinId="5"/>
  </cellStyles>
  <dxfs count="681"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ont>
        <b/>
        <i/>
        <strike val="0"/>
        <u val="none"/>
        <color rgb="FF3D466C"/>
      </font>
      <fill>
        <patternFill patternType="darkTrellis">
          <fgColor rgb="FFD5D6DE"/>
          <bgColor theme="0"/>
        </patternFill>
      </fill>
      <border>
        <left style="thin">
          <color rgb="FF051E56"/>
        </left>
        <right style="thin">
          <color rgb="FF051E56"/>
        </right>
        <top style="thin">
          <color rgb="FF051E56"/>
        </top>
        <bottom style="thin">
          <color rgb="FF051E56"/>
        </bottom>
      </border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ont>
        <b/>
        <i/>
        <strike val="0"/>
        <u val="none"/>
        <color rgb="FF3D466C"/>
      </font>
      <fill>
        <patternFill patternType="darkTrellis">
          <fgColor rgb="FFD5D6DE"/>
          <bgColor theme="0"/>
        </patternFill>
      </fill>
      <border>
        <left style="thin">
          <color rgb="FF051E56"/>
        </left>
        <right style="thin">
          <color rgb="FF051E56"/>
        </right>
        <top style="thin">
          <color rgb="FF051E56"/>
        </top>
        <bottom style="thin">
          <color rgb="FF051E56"/>
        </bottom>
      </border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ont>
        <b/>
        <i/>
        <strike val="0"/>
        <u val="none"/>
        <color rgb="FF3D466C"/>
      </font>
      <fill>
        <patternFill patternType="darkTrellis">
          <fgColor rgb="FFD5D6DE"/>
          <bgColor theme="0"/>
        </patternFill>
      </fill>
      <border>
        <left style="thin">
          <color rgb="FF051E56"/>
        </left>
        <right style="thin">
          <color rgb="FF051E56"/>
        </right>
        <top style="thin">
          <color rgb="FF051E56"/>
        </top>
        <bottom style="thin">
          <color rgb="FF051E56"/>
        </bottom>
      </border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ont>
        <b/>
        <i/>
        <strike val="0"/>
        <u val="none"/>
        <color rgb="FF3D466C"/>
      </font>
      <fill>
        <patternFill patternType="darkTrellis">
          <fgColor rgb="FFD5D6DE"/>
          <bgColor theme="0"/>
        </patternFill>
      </fill>
      <border>
        <left style="thin">
          <color rgb="FF051E56"/>
        </left>
        <right style="thin">
          <color rgb="FF051E56"/>
        </right>
        <top style="thin">
          <color rgb="FF051E56"/>
        </top>
        <bottom style="thin">
          <color rgb="FF051E56"/>
        </bottom>
      </border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rgb="FF051E56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167" formatCode="_-* #.##0\.00\ _z_ł_-;\-* #.##0\.00\ _z_ł_-;_-* &quot;-&quot;??\ _z_ł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51E56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51E56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51E56"/>
        </left>
        <right style="thin">
          <color indexed="64"/>
        </right>
        <top style="thin">
          <color indexed="64"/>
        </top>
        <bottom style="thin">
          <color rgb="FF051E56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167" formatCode="_-* #.##0\.00\ _z_ł_-;\-* #.##0\.00\ _z_ł_-;_-* &quot;-&quot;??\ _z_ł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167" formatCode="_-* #.##0\.00\ _z_ł_-;\-* #.##0\.00\ _z_ł_-;_-* &quot;-&quot;??\ _z_ł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rgb="FF051E56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rgb="FFD2D9E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family val="2"/>
        <charset val="238"/>
        <scheme val="none"/>
      </font>
      <numFmt numFmtId="13" formatCode="0%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INPro"/>
        <family val="2"/>
        <charset val="238"/>
        <scheme val="none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51E56"/>
        </left>
        <right style="thin">
          <color indexed="64"/>
        </right>
        <top style="thin">
          <color indexed="64"/>
        </top>
        <bottom style="thin">
          <color rgb="FF051E56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167" formatCode="_-* #.##0\.00\ _z_ł_-;\-* #.##0\.00\ _z_ł_-;_-* &quot;-&quot;??\ _z_ł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rgb="FFABAFBF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charset val="238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rgb="FFABAFBF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4" formatCode="#,##0.00"/>
      <fill>
        <patternFill patternType="solid">
          <fgColor indexed="64"/>
          <bgColor rgb="FFD2D9E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none"/>
      </font>
      <fill>
        <patternFill patternType="solid">
          <fgColor indexed="64"/>
          <bgColor rgb="FFA4B7C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Arial"/>
        <family val="2"/>
        <charset val="238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rgb="FF051E56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167" formatCode="_-* #.##0\.00\ _z_ł_-;\-* #.##0\.00\ _z_ł_-;_-* &quot;-&quot;??\ _z_ł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51E56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rgb="FF051E56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rgb="FF051E56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51E56"/>
        </left>
        <right style="thin">
          <color indexed="64"/>
        </right>
        <top style="thin">
          <color indexed="64"/>
        </top>
        <bottom style="thin">
          <color rgb="FF051E56"/>
        </bottom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numFmt numFmtId="167" formatCode="_-* #.##0\.00\ _z_ł_-;\-* #.##0\.00\ _z_ł_-;_-* &quot;-&quot;??\ _z_ł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numFmt numFmtId="13" formatCode="0%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DINPro"/>
        <scheme val="none"/>
      </font>
      <numFmt numFmtId="0" formatCode="General"/>
      <fill>
        <patternFill patternType="solid">
          <fgColor indexed="64"/>
          <bgColor theme="6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theme="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INPro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AADC14"/>
        <name val="DINPro"/>
        <family val="2"/>
        <charset val="238"/>
        <scheme val="none"/>
      </font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rgb="FFABAFB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numFmt numFmtId="167" formatCode="_-* #.##0\.00\ _z_ł_-;\-* #.##0\.00\ _z_ł_-;_-* &quot;-&quot;??\ _z_ł_-;_-@_-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family val="2"/>
        <charset val="238"/>
        <scheme val="none"/>
      </font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168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1" formatCode="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numFmt numFmtId="169" formatCode="0\.00"/>
      <fill>
        <patternFill patternType="solid">
          <fgColor indexed="64"/>
          <bgColor theme="0"/>
        </patternFill>
      </fill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169" formatCode="0\.0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theme="1"/>
        </top>
      </border>
    </dxf>
    <dxf>
      <font>
        <b val="0"/>
        <strike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charset val="238"/>
        <scheme val="none"/>
      </font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rgb="FFABAFB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167" formatCode="_-* #.##0\.00\ _z_ł_-;\-* #.##0\.00\ _z_ł_-;_-* &quot;-&quot;??\ _z_ł_-;_-@_-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charset val="238"/>
        <scheme val="none"/>
      </font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>
          <fgColor indexed="64"/>
          <bgColor theme="0"/>
        </patternFill>
      </fill>
      <alignment textRotation="0" wrapText="0" indent="0" justifyLastLine="0" shrinkToFit="0" readingOrder="0"/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rgb="FF3D466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>
          <fgColor indexed="64"/>
          <bgColor theme="0"/>
        </patternFill>
      </fill>
      <alignment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numFmt numFmtId="169" formatCode="0\.00"/>
      <border diagonalUp="0" diagonalDown="0" outline="0">
        <left style="thin">
          <color indexed="64"/>
        </left>
        <right style="thin">
          <color indexed="64"/>
        </right>
      </border>
    </dxf>
    <dxf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169" formatCode="0\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color theme="5" tint="-0.24994659260841701"/>
      </font>
      <fill>
        <patternFill>
          <bgColor theme="0"/>
        </patternFill>
      </fill>
    </dxf>
    <dxf>
      <font>
        <color theme="3" tint="-0.24994659260841701"/>
      </font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499984740745262"/>
        </patternFill>
      </fill>
    </dxf>
    <dxf>
      <border outline="0">
        <top style="thin">
          <color theme="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numFmt numFmtId="35" formatCode="_-* #,##0.00\ _z_ł_-;\-* #,##0.00\ _z_ł_-;_-* &quot;-&quot;??\ _z_ł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numFmt numFmtId="35" formatCode="_-* #,##0.00\ _z_ł_-;\-* #,##0.00\ _z_ł_-;_-* &quot;-&quot;??\ _z_ł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numFmt numFmtId="35" formatCode="_-* #,##0.00\ _z_ł_-;\-* #,##0.00\ _z_ł_-;_-* &quot;-&quot;??\ _z_ł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numFmt numFmtId="35" formatCode="_-* #,##0.00\ _z_ł_-;\-* #,##0.00\ _z_ł_-;_-* &quot;-&quot;??\ _z_ł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numFmt numFmtId="35" formatCode="_-* #,##0.00\ _z_ł_-;\-* #,##0.00\ _z_ł_-;_-* &quot;-&quot;??\ _z_ł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rgb="FFD2D9E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rgb="FFD2D9E0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2" formatCode="0.00"/>
      <fill>
        <patternFill patternType="solid">
          <fgColor indexed="64"/>
          <bgColor rgb="FFD2D9E0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theme="0"/>
        </left>
        <top style="thin">
          <color theme="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rgb="FFD2D9E0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2" formatCode="0.00"/>
      <fill>
        <patternFill patternType="solid">
          <fgColor indexed="64"/>
          <bgColor rgb="FFD2D9E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numFmt numFmtId="2" formatCode="0.00"/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  <protection locked="0" hidden="0"/>
    </dxf>
    <dxf>
      <border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 tint="-0.1499984740745262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fill>
        <patternFill patternType="solid">
          <fgColor indexed="64"/>
          <bgColor rgb="FF3D466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border outline="0">
        <left style="thin">
          <color indexed="64"/>
        </left>
        <right style="thin">
          <color indexed="64"/>
        </right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border outline="0">
        <right style="thin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30F40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rgb="FFD2E28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rgb="FFD2E28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outline="0">
        <left style="thin">
          <color indexed="64"/>
        </left>
        <right style="thin">
          <color indexed="64"/>
        </right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outline="0">
        <left style="thin">
          <color indexed="64"/>
        </left>
        <right style="thin">
          <color indexed="64"/>
        </right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30F40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2"/>
        <color rgb="FF030F40"/>
        <name val="Arial"/>
        <family val="2"/>
        <charset val="238"/>
        <scheme val="none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rgb="FFE0E7C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strike val="0"/>
        <outline val="0"/>
        <shadow val="0"/>
        <u val="none"/>
        <vertAlign val="baseline"/>
        <sz val="12"/>
        <color rgb="FFFF0000"/>
        <name val="Arial"/>
        <family val="2"/>
        <charset val="238"/>
        <scheme val="none"/>
      </font>
      <fill>
        <patternFill patternType="solid">
          <fgColor indexed="64"/>
          <bgColor rgb="FFE0E7C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rgb="FFD2D9E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strike val="0"/>
        <outline val="0"/>
        <shadow val="0"/>
        <u val="none"/>
        <vertAlign val="baseline"/>
        <sz val="12"/>
        <color rgb="FFFF0000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rgb="FFD2D9E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19" formatCode="yyyy/mm/dd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35" formatCode="_-* #,##0.00\ _z_ł_-;\-* #,##0.00\ _z_ł_-;_-* &quot;-&quot;??\ _z_ł_-;_-@_-"/>
      <fill>
        <patternFill patternType="solid">
          <fgColor indexed="64"/>
          <bgColor rgb="FFABAFB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Arial"/>
        <family val="2"/>
        <charset val="238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238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51E56"/>
        <name val="Arial"/>
        <family val="2"/>
        <charset val="238"/>
        <scheme val="none"/>
      </font>
      <numFmt numFmtId="0" formatCode="General"/>
      <fill>
        <patternFill patternType="solid">
          <fgColor indexed="64"/>
          <bgColor rgb="FFD2E28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name val="Arial"/>
        <family val="2"/>
        <charset val="238"/>
        <scheme val="none"/>
      </font>
      <protection locked="0" hidden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family val="2"/>
        <charset val="23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  <protection locked="0" hidden="0"/>
    </dxf>
    <dxf>
      <font>
        <b/>
        <i/>
        <strike val="0"/>
        <u val="none"/>
        <color rgb="FF3D466C"/>
      </font>
      <fill>
        <patternFill patternType="darkTrellis">
          <fgColor rgb="FFD5D6DE"/>
          <bgColor theme="0"/>
        </patternFill>
      </fill>
      <border>
        <left style="thin">
          <color rgb="FF051E56"/>
        </left>
        <right style="thin">
          <color rgb="FF051E56"/>
        </right>
        <top style="thin">
          <color rgb="FF051E56"/>
        </top>
        <bottom style="thin">
          <color rgb="FF051E56"/>
        </bottom>
      </border>
    </dxf>
    <dxf>
      <font>
        <color theme="0" tint="-0.499984740745262"/>
      </font>
      <fill>
        <patternFill>
          <bgColor theme="0" tint="-0.499984740745262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ont>
        <color theme="1"/>
      </font>
    </dxf>
    <dxf>
      <fill>
        <patternFill>
          <bgColor rgb="FFD5D6D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499984740745262"/>
      </font>
      <fill>
        <patternFill>
          <bgColor theme="0" tint="-0.499984740745262"/>
        </patternFill>
      </fill>
    </dxf>
    <dxf>
      <fill>
        <patternFill>
          <bgColor rgb="FFD5D6DE"/>
        </patternFill>
      </fill>
    </dxf>
    <dxf>
      <fill>
        <patternFill>
          <bgColor rgb="FFD5D6DE"/>
        </patternFill>
      </fill>
    </dxf>
    <dxf>
      <font>
        <color theme="1"/>
      </font>
    </dxf>
    <dxf>
      <fill>
        <patternFill>
          <bgColor rgb="FFD5D6D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8ACC45"/>
      </font>
      <fill>
        <patternFill patternType="solid">
          <fgColor auto="1"/>
          <bgColor rgb="FF3D466C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lor theme="0"/>
      </font>
      <fill>
        <patternFill>
          <bgColor rgb="FF3D466C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2" defaultPivotStyle="PivotStyleLight16">
    <tableStyle name="Styl SUEZ" pivot="0" count="2">
      <tableStyleElement type="headerRow" dxfId="680"/>
      <tableStyleElement type="totalRow" dxfId="679"/>
    </tableStyle>
  </tableStyles>
  <colors>
    <mruColors>
      <color rgb="FFAADC14"/>
      <color rgb="FF051E56"/>
      <color rgb="FF3D466C"/>
      <color rgb="FFD5D6DE"/>
      <color rgb="FFE0E7C7"/>
      <color rgb="FFD2E28C"/>
      <color rgb="FF8ACC45"/>
      <color rgb="FF767C97"/>
      <color rgb="FFA6A6A6"/>
      <color rgb="FFC4DE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4.emf"/><Relationship Id="rId3" Type="http://schemas.openxmlformats.org/officeDocument/2006/relationships/image" Target="../media/image6.emf"/><Relationship Id="rId7" Type="http://schemas.openxmlformats.org/officeDocument/2006/relationships/image" Target="../media/image9.emf"/><Relationship Id="rId12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3.emf"/><Relationship Id="rId11" Type="http://schemas.openxmlformats.org/officeDocument/2006/relationships/image" Target="../media/image13.emf"/><Relationship Id="rId5" Type="http://schemas.openxmlformats.org/officeDocument/2006/relationships/image" Target="../media/image8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7620</xdr:rowOff>
        </xdr:from>
        <xdr:to>
          <xdr:col>1</xdr:col>
          <xdr:colOff>30480</xdr:colOff>
          <xdr:row>24</xdr:row>
          <xdr:rowOff>83820</xdr:rowOff>
        </xdr:to>
        <xdr:sp macro="" textlink="">
          <xdr:nvSpPr>
            <xdr:cNvPr id="14339" name="Przycisk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0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l-P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3</xdr:row>
          <xdr:rowOff>76200</xdr:rowOff>
        </xdr:to>
        <xdr:sp macro="" textlink="">
          <xdr:nvSpPr>
            <xdr:cNvPr id="25605" name="START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105</xdr:col>
      <xdr:colOff>508000</xdr:colOff>
      <xdr:row>1</xdr:row>
      <xdr:rowOff>127000</xdr:rowOff>
    </xdr:from>
    <xdr:to>
      <xdr:col>111</xdr:col>
      <xdr:colOff>434328</xdr:colOff>
      <xdr:row>3</xdr:row>
      <xdr:rowOff>221707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04625" y="508000"/>
          <a:ext cx="2466328" cy="888457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106680</xdr:colOff>
          <xdr:row>5</xdr:row>
          <xdr:rowOff>137160</xdr:rowOff>
        </xdr:from>
        <xdr:to>
          <xdr:col>25</xdr:col>
          <xdr:colOff>1257300</xdr:colOff>
          <xdr:row>7</xdr:row>
          <xdr:rowOff>175260</xdr:rowOff>
        </xdr:to>
        <xdr:sp macro="" textlink="">
          <xdr:nvSpPr>
            <xdr:cNvPr id="2100" name="uwagi_b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5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198120</xdr:colOff>
          <xdr:row>8</xdr:row>
          <xdr:rowOff>76200</xdr:rowOff>
        </xdr:from>
        <xdr:to>
          <xdr:col>25</xdr:col>
          <xdr:colOff>1143000</xdr:colOff>
          <xdr:row>8</xdr:row>
          <xdr:rowOff>480060</xdr:rowOff>
        </xdr:to>
        <xdr:sp macro="" textlink="">
          <xdr:nvSpPr>
            <xdr:cNvPr id="2102" name="Pojemniki_b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5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121920</xdr:colOff>
          <xdr:row>8</xdr:row>
          <xdr:rowOff>76200</xdr:rowOff>
        </xdr:from>
        <xdr:to>
          <xdr:col>15</xdr:col>
          <xdr:colOff>1013460</xdr:colOff>
          <xdr:row>8</xdr:row>
          <xdr:rowOff>480060</xdr:rowOff>
        </xdr:to>
        <xdr:sp macro="" textlink="">
          <xdr:nvSpPr>
            <xdr:cNvPr id="2104" name="adres_b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5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22860</xdr:rowOff>
        </xdr:from>
        <xdr:to>
          <xdr:col>4</xdr:col>
          <xdr:colOff>0</xdr:colOff>
          <xdr:row>7</xdr:row>
          <xdr:rowOff>198120</xdr:rowOff>
        </xdr:to>
        <xdr:sp macro="" textlink="">
          <xdr:nvSpPr>
            <xdr:cNvPr id="2110" name="Opcja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5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0</xdr:colOff>
          <xdr:row>4</xdr:row>
          <xdr:rowOff>0</xdr:rowOff>
        </xdr:from>
        <xdr:to>
          <xdr:col>67</xdr:col>
          <xdr:colOff>0</xdr:colOff>
          <xdr:row>6</xdr:row>
          <xdr:rowOff>0</xdr:rowOff>
        </xdr:to>
        <xdr:sp macro="" textlink="">
          <xdr:nvSpPr>
            <xdr:cNvPr id="2111" name="Spółki_b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5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109</xdr:col>
          <xdr:colOff>0</xdr:colOff>
          <xdr:row>2</xdr:row>
          <xdr:rowOff>220980</xdr:rowOff>
        </xdr:from>
        <xdr:to>
          <xdr:col>111</xdr:col>
          <xdr:colOff>114300</xdr:colOff>
          <xdr:row>4</xdr:row>
          <xdr:rowOff>0</xdr:rowOff>
        </xdr:to>
        <xdr:sp macro="" textlink="">
          <xdr:nvSpPr>
            <xdr:cNvPr id="2114" name="Koszty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5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123" name="handlowiec_b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5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1379220</xdr:colOff>
          <xdr:row>2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124" name="wyceny_b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5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0</xdr:colOff>
          <xdr:row>4</xdr:row>
          <xdr:rowOff>45720</xdr:rowOff>
        </xdr:to>
        <xdr:sp macro="" textlink="">
          <xdr:nvSpPr>
            <xdr:cNvPr id="2125" name="kalkulacje_b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5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0</xdr:colOff>
          <xdr:row>4</xdr:row>
          <xdr:rowOff>7620</xdr:rowOff>
        </xdr:to>
        <xdr:sp macro="" textlink="">
          <xdr:nvSpPr>
            <xdr:cNvPr id="2126" name="akceptacja_b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5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109</xdr:col>
          <xdr:colOff>0</xdr:colOff>
          <xdr:row>0</xdr:row>
          <xdr:rowOff>0</xdr:rowOff>
        </xdr:from>
        <xdr:to>
          <xdr:col>110</xdr:col>
          <xdr:colOff>175260</xdr:colOff>
          <xdr:row>2</xdr:row>
          <xdr:rowOff>0</xdr:rowOff>
        </xdr:to>
        <xdr:sp macro="" textlink="">
          <xdr:nvSpPr>
            <xdr:cNvPr id="2129" name="Wspólna_m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5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45720</xdr:rowOff>
        </xdr:from>
        <xdr:to>
          <xdr:col>6</xdr:col>
          <xdr:colOff>0</xdr:colOff>
          <xdr:row>5</xdr:row>
          <xdr:rowOff>83820</xdr:rowOff>
        </xdr:to>
        <xdr:sp macro="" textlink="">
          <xdr:nvSpPr>
            <xdr:cNvPr id="2133" name="spółka_B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5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990600</xdr:colOff>
          <xdr:row>19</xdr:row>
          <xdr:rowOff>137160</xdr:rowOff>
        </xdr:from>
        <xdr:to>
          <xdr:col>46</xdr:col>
          <xdr:colOff>0</xdr:colOff>
          <xdr:row>40</xdr:row>
          <xdr:rowOff>114300</xdr:rowOff>
        </xdr:to>
        <xdr:sp macro="" textlink="">
          <xdr:nvSpPr>
            <xdr:cNvPr id="2138" name="dodatkowe_uwagi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5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0</xdr:colOff>
      <xdr:row>0</xdr:row>
      <xdr:rowOff>0</xdr:rowOff>
    </xdr:from>
    <xdr:to>
      <xdr:col>28</xdr:col>
      <xdr:colOff>183283</xdr:colOff>
      <xdr:row>3</xdr:row>
      <xdr:rowOff>178403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93000" y="0"/>
          <a:ext cx="2004939" cy="6577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28</xdr:row>
          <xdr:rowOff>83820</xdr:rowOff>
        </xdr:from>
        <xdr:to>
          <xdr:col>5</xdr:col>
          <xdr:colOff>1021080</xdr:colOff>
          <xdr:row>28</xdr:row>
          <xdr:rowOff>571500</xdr:rowOff>
        </xdr:to>
        <xdr:sp macro="" textlink="">
          <xdr:nvSpPr>
            <xdr:cNvPr id="3087" name="ryczałt_G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6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0</xdr:row>
          <xdr:rowOff>30480</xdr:rowOff>
        </xdr:from>
        <xdr:to>
          <xdr:col>14</xdr:col>
          <xdr:colOff>952500</xdr:colOff>
          <xdr:row>2</xdr:row>
          <xdr:rowOff>121920</xdr:rowOff>
        </xdr:to>
        <xdr:sp macro="" textlink="">
          <xdr:nvSpPr>
            <xdr:cNvPr id="3094" name="Oblicz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467405</xdr:colOff>
      <xdr:row>0</xdr:row>
      <xdr:rowOff>0</xdr:rowOff>
    </xdr:from>
    <xdr:to>
      <xdr:col>22</xdr:col>
      <xdr:colOff>127000</xdr:colOff>
      <xdr:row>3</xdr:row>
      <xdr:rowOff>107047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2822" y="0"/>
          <a:ext cx="2040845" cy="6573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7411" name="CommandButton1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17418" name="Ryczałt_GL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7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790482</xdr:colOff>
      <xdr:row>0</xdr:row>
      <xdr:rowOff>49627</xdr:rowOff>
    </xdr:from>
    <xdr:to>
      <xdr:col>10</xdr:col>
      <xdr:colOff>0</xdr:colOff>
      <xdr:row>4</xdr:row>
      <xdr:rowOff>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2232" y="49627"/>
          <a:ext cx="1952718" cy="67427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884000</xdr:colOff>
      <xdr:row>0</xdr:row>
      <xdr:rowOff>0</xdr:rowOff>
    </xdr:from>
    <xdr:to>
      <xdr:col>9</xdr:col>
      <xdr:colOff>1303193</xdr:colOff>
      <xdr:row>3</xdr:row>
      <xdr:rowOff>113164</xdr:rowOff>
    </xdr:to>
    <xdr:pic>
      <xdr:nvPicPr>
        <xdr:cNvPr id="5" name="Obraz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90150" y="0"/>
          <a:ext cx="1952718" cy="67513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1450862</xdr:colOff>
      <xdr:row>0</xdr:row>
      <xdr:rowOff>0</xdr:rowOff>
    </xdr:from>
    <xdr:to>
      <xdr:col>23</xdr:col>
      <xdr:colOff>190123</xdr:colOff>
      <xdr:row>4</xdr:row>
      <xdr:rowOff>343944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62326" y="0"/>
          <a:ext cx="3651440" cy="111955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ronkow\Desktop\Formatka%203.0.3..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awfs01\groups$\Users\sflorek\Desktop\Pulpit\Analiza\Segmentacja\Segmentacja%202016-10\Segmentacja%202016%20v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Listy_rozwijane"/>
      <sheetName val="Segmenty (2)"/>
      <sheetName val="Segmenty"/>
      <sheetName val="Tabela informacyjna"/>
      <sheetName val="KSO_odpady"/>
      <sheetName val="Kursy"/>
      <sheetName val="Obsługa_sprzęt"/>
      <sheetName val="Obsługa_ludzie"/>
      <sheetName val="EYDTOWANE PRZEZ"/>
      <sheetName val="Podsumowanie na rok"/>
      <sheetName val="Podsumowanie na konrakt"/>
      <sheetName val="Nagłówki"/>
      <sheetName val="Cennik do oferty"/>
      <sheetName val="Kody_odpadó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2">
          <cell r="A2" t="str">
            <v>01 01 01</v>
          </cell>
        </row>
        <row r="3">
          <cell r="A3" t="str">
            <v>01 01 02</v>
          </cell>
        </row>
        <row r="4">
          <cell r="A4" t="str">
            <v>01 01 80</v>
          </cell>
        </row>
        <row r="5">
          <cell r="A5" t="str">
            <v>01 03 04*</v>
          </cell>
        </row>
        <row r="6">
          <cell r="A6" t="str">
            <v>01 03 05*</v>
          </cell>
        </row>
        <row r="7">
          <cell r="A7" t="str">
            <v>01 03 06</v>
          </cell>
        </row>
        <row r="8">
          <cell r="A8" t="str">
            <v>01 03 07*</v>
          </cell>
        </row>
        <row r="9">
          <cell r="A9" t="str">
            <v>01 03 08</v>
          </cell>
        </row>
        <row r="10">
          <cell r="A10" t="str">
            <v>01 03 09</v>
          </cell>
        </row>
        <row r="11">
          <cell r="A11" t="str">
            <v>01 03 80*</v>
          </cell>
        </row>
        <row r="12">
          <cell r="A12" t="str">
            <v>01 03 81</v>
          </cell>
        </row>
        <row r="13">
          <cell r="A13" t="str">
            <v>01 03 99</v>
          </cell>
        </row>
        <row r="14">
          <cell r="A14" t="str">
            <v>01 04 07*</v>
          </cell>
        </row>
        <row r="15">
          <cell r="A15" t="str">
            <v>01 04 08</v>
          </cell>
        </row>
        <row r="16">
          <cell r="A16" t="str">
            <v>01 04 09</v>
          </cell>
        </row>
        <row r="17">
          <cell r="A17" t="str">
            <v>01 04 10</v>
          </cell>
        </row>
        <row r="18">
          <cell r="A18" t="str">
            <v>01 04 11</v>
          </cell>
        </row>
        <row r="19">
          <cell r="A19" t="str">
            <v>01 04 12</v>
          </cell>
        </row>
        <row r="20">
          <cell r="A20" t="str">
            <v>01 04 13</v>
          </cell>
        </row>
        <row r="21">
          <cell r="A21" t="str">
            <v>01 04 80*</v>
          </cell>
        </row>
        <row r="22">
          <cell r="A22" t="str">
            <v>01 04 81</v>
          </cell>
        </row>
        <row r="23">
          <cell r="A23" t="str">
            <v>01 04 82*</v>
          </cell>
        </row>
        <row r="24">
          <cell r="A24" t="str">
            <v>01 04 83</v>
          </cell>
        </row>
        <row r="25">
          <cell r="A25" t="str">
            <v>01 04 84*</v>
          </cell>
        </row>
        <row r="26">
          <cell r="A26" t="str">
            <v>01 04 85</v>
          </cell>
        </row>
        <row r="27">
          <cell r="A27" t="str">
            <v>01 04 99</v>
          </cell>
        </row>
        <row r="28">
          <cell r="A28" t="str">
            <v>01 05 04</v>
          </cell>
        </row>
        <row r="29">
          <cell r="A29" t="str">
            <v>01 05 05*</v>
          </cell>
        </row>
        <row r="30">
          <cell r="A30" t="str">
            <v>01 05 06*</v>
          </cell>
        </row>
        <row r="31">
          <cell r="A31" t="str">
            <v>01 05 07</v>
          </cell>
        </row>
        <row r="32">
          <cell r="A32" t="str">
            <v>01 05 08</v>
          </cell>
        </row>
        <row r="33">
          <cell r="A33" t="str">
            <v>01 05 99</v>
          </cell>
        </row>
        <row r="34">
          <cell r="A34" t="str">
            <v>02 01 01</v>
          </cell>
        </row>
        <row r="35">
          <cell r="A35" t="str">
            <v>02 01 02</v>
          </cell>
        </row>
        <row r="36">
          <cell r="A36" t="str">
            <v>02 01 03</v>
          </cell>
        </row>
        <row r="37">
          <cell r="A37" t="str">
            <v>02 01 04</v>
          </cell>
        </row>
        <row r="38">
          <cell r="A38" t="str">
            <v>02 01 06</v>
          </cell>
        </row>
        <row r="39">
          <cell r="A39" t="str">
            <v>02 01 07</v>
          </cell>
        </row>
        <row r="40">
          <cell r="A40" t="str">
            <v>02 01 08*</v>
          </cell>
        </row>
        <row r="41">
          <cell r="A41" t="str">
            <v>02 01 09</v>
          </cell>
        </row>
        <row r="42">
          <cell r="A42" t="str">
            <v>02 01 10</v>
          </cell>
        </row>
        <row r="43">
          <cell r="A43" t="str">
            <v>02 01 80*</v>
          </cell>
        </row>
        <row r="44">
          <cell r="A44" t="str">
            <v>02 01 81</v>
          </cell>
        </row>
        <row r="45">
          <cell r="A45" t="str">
            <v>02 01 82</v>
          </cell>
        </row>
        <row r="46">
          <cell r="A46" t="str">
            <v>02 01 83</v>
          </cell>
        </row>
        <row r="47">
          <cell r="A47" t="str">
            <v>02 01 99</v>
          </cell>
        </row>
        <row r="48">
          <cell r="A48" t="str">
            <v>02 02 01</v>
          </cell>
        </row>
        <row r="49">
          <cell r="A49" t="str">
            <v>02 02 02</v>
          </cell>
        </row>
        <row r="50">
          <cell r="A50" t="str">
            <v>02 02 03</v>
          </cell>
        </row>
        <row r="51">
          <cell r="A51" t="str">
            <v>02 02 04</v>
          </cell>
        </row>
        <row r="52">
          <cell r="A52" t="str">
            <v>02 02 80*</v>
          </cell>
        </row>
        <row r="53">
          <cell r="A53" t="str">
            <v>02 02 81</v>
          </cell>
        </row>
        <row r="54">
          <cell r="A54" t="str">
            <v>02 02 82</v>
          </cell>
        </row>
        <row r="55">
          <cell r="A55" t="str">
            <v>02 02 99</v>
          </cell>
        </row>
        <row r="56">
          <cell r="A56" t="str">
            <v>02 03 01</v>
          </cell>
        </row>
        <row r="57">
          <cell r="A57" t="str">
            <v>02 03 02</v>
          </cell>
        </row>
        <row r="58">
          <cell r="A58" t="str">
            <v>02 03 03</v>
          </cell>
        </row>
        <row r="59">
          <cell r="A59" t="str">
            <v>02 03 04</v>
          </cell>
        </row>
        <row r="60">
          <cell r="A60" t="str">
            <v>02 03 05</v>
          </cell>
        </row>
        <row r="61">
          <cell r="A61" t="str">
            <v>02 03 80</v>
          </cell>
        </row>
        <row r="62">
          <cell r="A62" t="str">
            <v>02 03 81</v>
          </cell>
        </row>
        <row r="63">
          <cell r="A63" t="str">
            <v>02 03 82</v>
          </cell>
        </row>
        <row r="64">
          <cell r="A64" t="str">
            <v>02 03 99</v>
          </cell>
        </row>
        <row r="65">
          <cell r="A65" t="str">
            <v>02 04 01</v>
          </cell>
        </row>
        <row r="66">
          <cell r="A66" t="str">
            <v>02 04 02</v>
          </cell>
        </row>
        <row r="67">
          <cell r="A67" t="str">
            <v>02 04 03</v>
          </cell>
        </row>
        <row r="68">
          <cell r="A68" t="str">
            <v>02 04 80</v>
          </cell>
        </row>
        <row r="69">
          <cell r="A69" t="str">
            <v>02 04 99</v>
          </cell>
        </row>
        <row r="70">
          <cell r="A70" t="str">
            <v>02 05 01</v>
          </cell>
        </row>
        <row r="71">
          <cell r="A71" t="str">
            <v>02 05 02</v>
          </cell>
        </row>
        <row r="72">
          <cell r="A72" t="str">
            <v>02 05 80</v>
          </cell>
        </row>
        <row r="73">
          <cell r="A73" t="str">
            <v>02 05 99</v>
          </cell>
        </row>
        <row r="74">
          <cell r="A74" t="str">
            <v>02 06 01</v>
          </cell>
        </row>
        <row r="75">
          <cell r="A75" t="str">
            <v>02 06 02</v>
          </cell>
        </row>
        <row r="76">
          <cell r="A76" t="str">
            <v>02 06 03</v>
          </cell>
        </row>
        <row r="77">
          <cell r="A77" t="str">
            <v>02 06 80</v>
          </cell>
        </row>
        <row r="78">
          <cell r="A78" t="str">
            <v>02 06 99</v>
          </cell>
        </row>
        <row r="79">
          <cell r="A79" t="str">
            <v>02 07 01</v>
          </cell>
        </row>
        <row r="80">
          <cell r="A80" t="str">
            <v>02 07 02</v>
          </cell>
        </row>
        <row r="81">
          <cell r="A81" t="str">
            <v>02 07 03</v>
          </cell>
        </row>
        <row r="82">
          <cell r="A82" t="str">
            <v>02 07 04</v>
          </cell>
        </row>
        <row r="83">
          <cell r="A83" t="str">
            <v>02 07 05</v>
          </cell>
        </row>
        <row r="84">
          <cell r="A84" t="str">
            <v>02 07 80</v>
          </cell>
        </row>
        <row r="85">
          <cell r="A85" t="str">
            <v>02 07 99</v>
          </cell>
        </row>
        <row r="86">
          <cell r="A86" t="str">
            <v>03 01 01</v>
          </cell>
        </row>
        <row r="87">
          <cell r="A87" t="str">
            <v>03 01 04*</v>
          </cell>
        </row>
        <row r="88">
          <cell r="A88" t="str">
            <v>03 01 05</v>
          </cell>
        </row>
        <row r="89">
          <cell r="A89" t="str">
            <v>03 01 80*</v>
          </cell>
        </row>
        <row r="90">
          <cell r="A90" t="str">
            <v>03 01 81</v>
          </cell>
        </row>
        <row r="91">
          <cell r="A91" t="str">
            <v>03 01 82</v>
          </cell>
        </row>
        <row r="92">
          <cell r="A92" t="str">
            <v>03 01 99</v>
          </cell>
        </row>
        <row r="93">
          <cell r="A93" t="str">
            <v>03 02 01*</v>
          </cell>
        </row>
        <row r="94">
          <cell r="A94" t="str">
            <v>03 02 02*</v>
          </cell>
        </row>
        <row r="95">
          <cell r="A95" t="str">
            <v>03 02 03*</v>
          </cell>
        </row>
        <row r="96">
          <cell r="A96" t="str">
            <v>03 02 04*</v>
          </cell>
        </row>
        <row r="97">
          <cell r="A97" t="str">
            <v>03 02 05*</v>
          </cell>
        </row>
        <row r="98">
          <cell r="A98" t="str">
            <v>03 02 99</v>
          </cell>
        </row>
        <row r="99">
          <cell r="A99" t="str">
            <v>03 03 01</v>
          </cell>
        </row>
        <row r="100">
          <cell r="A100" t="str">
            <v>03 03 02</v>
          </cell>
        </row>
        <row r="101">
          <cell r="A101" t="str">
            <v>03 03 05</v>
          </cell>
        </row>
        <row r="102">
          <cell r="A102" t="str">
            <v>03 03 07</v>
          </cell>
        </row>
        <row r="103">
          <cell r="A103" t="str">
            <v>03 03 08</v>
          </cell>
        </row>
        <row r="104">
          <cell r="A104" t="str">
            <v>03 03 09</v>
          </cell>
        </row>
        <row r="105">
          <cell r="A105" t="str">
            <v>03 03 10</v>
          </cell>
        </row>
        <row r="106">
          <cell r="A106" t="str">
            <v>03 03 11</v>
          </cell>
        </row>
        <row r="107">
          <cell r="A107" t="str">
            <v>03 03 80</v>
          </cell>
        </row>
        <row r="108">
          <cell r="A108" t="str">
            <v>03 03 81</v>
          </cell>
        </row>
        <row r="109">
          <cell r="A109" t="str">
            <v>03 03 99</v>
          </cell>
        </row>
        <row r="110">
          <cell r="A110" t="str">
            <v>04 01 01</v>
          </cell>
        </row>
        <row r="111">
          <cell r="A111" t="str">
            <v>04 01 02</v>
          </cell>
        </row>
        <row r="112">
          <cell r="A112" t="str">
            <v>04 01 03*</v>
          </cell>
        </row>
        <row r="113">
          <cell r="A113" t="str">
            <v>04 01 04</v>
          </cell>
        </row>
        <row r="114">
          <cell r="A114" t="str">
            <v>04 01 05</v>
          </cell>
        </row>
        <row r="115">
          <cell r="A115" t="str">
            <v>04 01 06</v>
          </cell>
        </row>
        <row r="116">
          <cell r="A116" t="str">
            <v>04 01 07</v>
          </cell>
        </row>
        <row r="117">
          <cell r="A117" t="str">
            <v>04 01 08</v>
          </cell>
        </row>
        <row r="118">
          <cell r="A118" t="str">
            <v>04 01 09</v>
          </cell>
        </row>
        <row r="119">
          <cell r="A119" t="str">
            <v>04 01 99</v>
          </cell>
        </row>
        <row r="120">
          <cell r="A120" t="str">
            <v>04 02 09</v>
          </cell>
        </row>
        <row r="121">
          <cell r="A121" t="str">
            <v>04 02 10</v>
          </cell>
        </row>
        <row r="122">
          <cell r="A122" t="str">
            <v>04 02 14*</v>
          </cell>
        </row>
        <row r="123">
          <cell r="A123" t="str">
            <v>04 02 15</v>
          </cell>
        </row>
        <row r="124">
          <cell r="A124" t="str">
            <v>04 02 16*</v>
          </cell>
        </row>
        <row r="125">
          <cell r="A125" t="str">
            <v>04 02 17</v>
          </cell>
        </row>
        <row r="126">
          <cell r="A126" t="str">
            <v>04 02 19*</v>
          </cell>
        </row>
        <row r="127">
          <cell r="A127" t="str">
            <v>04 02 20</v>
          </cell>
        </row>
        <row r="128">
          <cell r="A128" t="str">
            <v>04 02 21</v>
          </cell>
        </row>
        <row r="129">
          <cell r="A129" t="str">
            <v>04 02 22</v>
          </cell>
        </row>
        <row r="130">
          <cell r="A130" t="str">
            <v>04 02 80</v>
          </cell>
        </row>
        <row r="131">
          <cell r="A131" t="str">
            <v>04 02 99</v>
          </cell>
        </row>
        <row r="132">
          <cell r="A132" t="str">
            <v>05 01 02*</v>
          </cell>
        </row>
        <row r="133">
          <cell r="A133" t="str">
            <v>05 01 03*</v>
          </cell>
        </row>
        <row r="134">
          <cell r="A134" t="str">
            <v>05 01 04*</v>
          </cell>
        </row>
        <row r="135">
          <cell r="A135" t="str">
            <v>05 01 05*</v>
          </cell>
        </row>
        <row r="136">
          <cell r="A136" t="str">
            <v>05 01 06*</v>
          </cell>
        </row>
        <row r="137">
          <cell r="A137" t="str">
            <v>05 01 07*</v>
          </cell>
        </row>
        <row r="138">
          <cell r="A138" t="str">
            <v>05 01 08*</v>
          </cell>
        </row>
        <row r="139">
          <cell r="A139" t="str">
            <v>05 01 09*</v>
          </cell>
        </row>
        <row r="140">
          <cell r="A140" t="str">
            <v>05 01 10</v>
          </cell>
        </row>
        <row r="141">
          <cell r="A141" t="str">
            <v>05 01 11*</v>
          </cell>
        </row>
        <row r="142">
          <cell r="A142" t="str">
            <v>05 01 12*</v>
          </cell>
        </row>
        <row r="143">
          <cell r="A143" t="str">
            <v>05 01 13</v>
          </cell>
        </row>
        <row r="144">
          <cell r="A144" t="str">
            <v>05 01 14</v>
          </cell>
        </row>
        <row r="145">
          <cell r="A145" t="str">
            <v>05 01 15*</v>
          </cell>
        </row>
        <row r="146">
          <cell r="A146" t="str">
            <v>05 01 16</v>
          </cell>
        </row>
        <row r="147">
          <cell r="A147" t="str">
            <v>05 01 17</v>
          </cell>
        </row>
        <row r="148">
          <cell r="A148" t="str">
            <v>05 01 99</v>
          </cell>
        </row>
        <row r="149">
          <cell r="A149" t="str">
            <v>05 06 01*</v>
          </cell>
        </row>
        <row r="150">
          <cell r="A150" t="str">
            <v>05 06 03*</v>
          </cell>
        </row>
        <row r="151">
          <cell r="A151" t="str">
            <v>05 06 04</v>
          </cell>
        </row>
        <row r="152">
          <cell r="A152" t="str">
            <v>05 06 80*</v>
          </cell>
        </row>
        <row r="153">
          <cell r="A153" t="str">
            <v>05 06 99</v>
          </cell>
        </row>
        <row r="154">
          <cell r="A154" t="str">
            <v>05 07 01*</v>
          </cell>
        </row>
        <row r="155">
          <cell r="A155" t="str">
            <v>05 07 02</v>
          </cell>
        </row>
        <row r="156">
          <cell r="A156" t="str">
            <v>05 07 99</v>
          </cell>
        </row>
        <row r="157">
          <cell r="A157" t="str">
            <v>06 01 01*</v>
          </cell>
        </row>
        <row r="158">
          <cell r="A158" t="str">
            <v>06 01 02*</v>
          </cell>
        </row>
        <row r="159">
          <cell r="A159" t="str">
            <v>06 01 03*</v>
          </cell>
        </row>
        <row r="160">
          <cell r="A160" t="str">
            <v>06 01 04*</v>
          </cell>
        </row>
        <row r="161">
          <cell r="A161" t="str">
            <v>06 01 05*</v>
          </cell>
        </row>
        <row r="162">
          <cell r="A162" t="str">
            <v>06 01 06*</v>
          </cell>
        </row>
        <row r="163">
          <cell r="A163" t="str">
            <v>06 01 99</v>
          </cell>
        </row>
        <row r="164">
          <cell r="A164" t="str">
            <v>06 02 01*</v>
          </cell>
        </row>
        <row r="165">
          <cell r="A165" t="str">
            <v>06 02 03*</v>
          </cell>
        </row>
        <row r="166">
          <cell r="A166" t="str">
            <v>06 02 04*</v>
          </cell>
        </row>
        <row r="167">
          <cell r="A167" t="str">
            <v>06 02 05*</v>
          </cell>
        </row>
        <row r="168">
          <cell r="A168" t="str">
            <v>06 02 99</v>
          </cell>
        </row>
        <row r="169">
          <cell r="A169" t="str">
            <v>06 03 11*</v>
          </cell>
        </row>
        <row r="170">
          <cell r="A170" t="str">
            <v>06 03 13*</v>
          </cell>
        </row>
        <row r="171">
          <cell r="A171" t="str">
            <v>06 03 14</v>
          </cell>
        </row>
        <row r="172">
          <cell r="A172" t="str">
            <v>06 03 15*</v>
          </cell>
        </row>
        <row r="173">
          <cell r="A173" t="str">
            <v>06 03 16</v>
          </cell>
        </row>
        <row r="174">
          <cell r="A174" t="str">
            <v>06 03 99</v>
          </cell>
        </row>
        <row r="175">
          <cell r="A175" t="str">
            <v>06 04 03*</v>
          </cell>
        </row>
        <row r="176">
          <cell r="A176" t="str">
            <v>06 04 04*</v>
          </cell>
        </row>
        <row r="177">
          <cell r="A177" t="str">
            <v>06 04 05*</v>
          </cell>
        </row>
        <row r="178">
          <cell r="A178" t="str">
            <v>06 04 99</v>
          </cell>
        </row>
        <row r="179">
          <cell r="A179" t="str">
            <v>06 05 02*</v>
          </cell>
        </row>
        <row r="180">
          <cell r="A180" t="str">
            <v>06 05 03</v>
          </cell>
        </row>
        <row r="181">
          <cell r="A181" t="str">
            <v>06 06 02*</v>
          </cell>
        </row>
        <row r="182">
          <cell r="A182" t="str">
            <v>06 06 03</v>
          </cell>
        </row>
        <row r="183">
          <cell r="A183" t="str">
            <v>06 06 99</v>
          </cell>
        </row>
        <row r="184">
          <cell r="A184" t="str">
            <v>06 07 01*</v>
          </cell>
        </row>
        <row r="185">
          <cell r="A185" t="str">
            <v>06 07 02*</v>
          </cell>
        </row>
        <row r="186">
          <cell r="A186" t="str">
            <v>06 07 03*</v>
          </cell>
        </row>
        <row r="187">
          <cell r="A187" t="str">
            <v>06 07 04*</v>
          </cell>
        </row>
        <row r="188">
          <cell r="A188" t="str">
            <v>06 07 99</v>
          </cell>
        </row>
        <row r="189">
          <cell r="A189" t="str">
            <v>06 08 02*</v>
          </cell>
        </row>
        <row r="190">
          <cell r="A190" t="str">
            <v>06 08 99</v>
          </cell>
        </row>
        <row r="191">
          <cell r="A191" t="str">
            <v>06 09 02</v>
          </cell>
        </row>
        <row r="192">
          <cell r="A192" t="str">
            <v>06 09 03*</v>
          </cell>
        </row>
        <row r="193">
          <cell r="A193" t="str">
            <v>06 09 04</v>
          </cell>
        </row>
        <row r="194">
          <cell r="A194" t="str">
            <v>06 09 80</v>
          </cell>
        </row>
        <row r="195">
          <cell r="A195" t="str">
            <v>06 09 81</v>
          </cell>
        </row>
        <row r="196">
          <cell r="A196" t="str">
            <v>06 09 99</v>
          </cell>
        </row>
        <row r="197">
          <cell r="A197" t="str">
            <v>06 10 02*</v>
          </cell>
        </row>
        <row r="198">
          <cell r="A198" t="str">
            <v>06 10 99</v>
          </cell>
        </row>
        <row r="199">
          <cell r="A199" t="str">
            <v>06 11 01</v>
          </cell>
        </row>
        <row r="200">
          <cell r="A200" t="str">
            <v>06 11 80</v>
          </cell>
        </row>
        <row r="201">
          <cell r="A201" t="str">
            <v>06 11 81</v>
          </cell>
        </row>
        <row r="202">
          <cell r="A202" t="str">
            <v>06 11 82</v>
          </cell>
        </row>
        <row r="203">
          <cell r="A203" t="str">
            <v>06 11 83</v>
          </cell>
        </row>
        <row r="204">
          <cell r="A204" t="str">
            <v>06 11 99</v>
          </cell>
        </row>
        <row r="205">
          <cell r="A205" t="str">
            <v>06 13 01*</v>
          </cell>
        </row>
        <row r="206">
          <cell r="A206" t="str">
            <v>06 13 02*</v>
          </cell>
        </row>
        <row r="207">
          <cell r="A207" t="str">
            <v>06 13 03</v>
          </cell>
        </row>
        <row r="208">
          <cell r="A208" t="str">
            <v>06 13 04*</v>
          </cell>
        </row>
        <row r="209">
          <cell r="A209" t="str">
            <v>06 13 05*</v>
          </cell>
        </row>
        <row r="210">
          <cell r="A210" t="str">
            <v>06 13 99</v>
          </cell>
        </row>
        <row r="211">
          <cell r="A211" t="str">
            <v>07 01 01*</v>
          </cell>
        </row>
        <row r="212">
          <cell r="A212" t="str">
            <v>07 01 03*</v>
          </cell>
        </row>
        <row r="213">
          <cell r="A213" t="str">
            <v>07 01 04*</v>
          </cell>
        </row>
        <row r="214">
          <cell r="A214" t="str">
            <v>07 01 07*</v>
          </cell>
        </row>
        <row r="215">
          <cell r="A215" t="str">
            <v>07 01 08*</v>
          </cell>
        </row>
        <row r="216">
          <cell r="A216" t="str">
            <v>07 01 09*</v>
          </cell>
        </row>
        <row r="217">
          <cell r="A217" t="str">
            <v>07 01 10*</v>
          </cell>
        </row>
        <row r="218">
          <cell r="A218" t="str">
            <v>07 01 11*</v>
          </cell>
        </row>
        <row r="219">
          <cell r="A219" t="str">
            <v>07 01 12</v>
          </cell>
        </row>
        <row r="220">
          <cell r="A220" t="str">
            <v>07 01 80</v>
          </cell>
        </row>
        <row r="221">
          <cell r="A221" t="str">
            <v>07 01 99</v>
          </cell>
        </row>
        <row r="222">
          <cell r="A222" t="str">
            <v>07 02 01*</v>
          </cell>
        </row>
        <row r="223">
          <cell r="A223" t="str">
            <v>07 02 03*</v>
          </cell>
        </row>
        <row r="224">
          <cell r="A224" t="str">
            <v>07 02 04*</v>
          </cell>
        </row>
        <row r="225">
          <cell r="A225" t="str">
            <v>07 02 07*</v>
          </cell>
        </row>
        <row r="226">
          <cell r="A226" t="str">
            <v>07 02 08*</v>
          </cell>
        </row>
        <row r="227">
          <cell r="A227" t="str">
            <v>07 02 09*</v>
          </cell>
        </row>
        <row r="228">
          <cell r="A228" t="str">
            <v>07 02 10*</v>
          </cell>
        </row>
        <row r="229">
          <cell r="A229" t="str">
            <v>07 02 11*</v>
          </cell>
        </row>
        <row r="230">
          <cell r="A230" t="str">
            <v>07 02 12</v>
          </cell>
        </row>
        <row r="231">
          <cell r="A231" t="str">
            <v>07 02 13</v>
          </cell>
        </row>
        <row r="232">
          <cell r="A232" t="str">
            <v>07 02 14*</v>
          </cell>
        </row>
        <row r="233">
          <cell r="A233" t="str">
            <v>07 02 15</v>
          </cell>
        </row>
        <row r="234">
          <cell r="A234" t="str">
            <v>07 02 16*</v>
          </cell>
        </row>
        <row r="235">
          <cell r="A235" t="str">
            <v>07 02 17</v>
          </cell>
        </row>
        <row r="236">
          <cell r="A236" t="str">
            <v>07 02 80</v>
          </cell>
        </row>
        <row r="237">
          <cell r="A237" t="str">
            <v>07 02 99</v>
          </cell>
        </row>
        <row r="238">
          <cell r="A238" t="str">
            <v>07 03 01*</v>
          </cell>
        </row>
        <row r="239">
          <cell r="A239" t="str">
            <v>07 03 03*</v>
          </cell>
        </row>
        <row r="240">
          <cell r="A240" t="str">
            <v>07 03 04*</v>
          </cell>
        </row>
        <row r="241">
          <cell r="A241" t="str">
            <v>07 03 07*</v>
          </cell>
        </row>
        <row r="242">
          <cell r="A242" t="str">
            <v>07 03 08*</v>
          </cell>
        </row>
        <row r="243">
          <cell r="A243" t="str">
            <v>07 03 09*</v>
          </cell>
        </row>
        <row r="244">
          <cell r="A244" t="str">
            <v>07 03 10*</v>
          </cell>
        </row>
        <row r="245">
          <cell r="A245" t="str">
            <v>07 03 11*</v>
          </cell>
        </row>
        <row r="246">
          <cell r="A246" t="str">
            <v>07 03 12</v>
          </cell>
        </row>
        <row r="247">
          <cell r="A247" t="str">
            <v>07 03 99</v>
          </cell>
        </row>
        <row r="248">
          <cell r="A248" t="str">
            <v>07 04 01*</v>
          </cell>
        </row>
        <row r="249">
          <cell r="A249" t="str">
            <v>07 04 03*</v>
          </cell>
        </row>
        <row r="250">
          <cell r="A250" t="str">
            <v>07 04 04*</v>
          </cell>
        </row>
        <row r="251">
          <cell r="A251" t="str">
            <v>07 04 07*</v>
          </cell>
        </row>
        <row r="252">
          <cell r="A252" t="str">
            <v>07 04 08*</v>
          </cell>
        </row>
        <row r="253">
          <cell r="A253" t="str">
            <v>07 04 09*</v>
          </cell>
        </row>
        <row r="254">
          <cell r="A254" t="str">
            <v>07 04 10*</v>
          </cell>
        </row>
        <row r="255">
          <cell r="A255" t="str">
            <v>07 04 11*</v>
          </cell>
        </row>
        <row r="256">
          <cell r="A256" t="str">
            <v>07 04 12</v>
          </cell>
        </row>
        <row r="257">
          <cell r="A257" t="str">
            <v>07 04 13*</v>
          </cell>
        </row>
        <row r="258">
          <cell r="A258" t="str">
            <v>07 04 80*</v>
          </cell>
        </row>
        <row r="259">
          <cell r="A259" t="str">
            <v>07 04 81</v>
          </cell>
        </row>
        <row r="260">
          <cell r="A260" t="str">
            <v>07 04 99</v>
          </cell>
        </row>
        <row r="261">
          <cell r="A261" t="str">
            <v>07 05 01*</v>
          </cell>
        </row>
        <row r="262">
          <cell r="A262" t="str">
            <v>07 05 03*</v>
          </cell>
        </row>
        <row r="263">
          <cell r="A263" t="str">
            <v>07 05 04*</v>
          </cell>
        </row>
        <row r="264">
          <cell r="A264" t="str">
            <v>07 05 07*</v>
          </cell>
        </row>
        <row r="265">
          <cell r="A265" t="str">
            <v>07 05 08*</v>
          </cell>
        </row>
        <row r="266">
          <cell r="A266" t="str">
            <v>07 05 09*</v>
          </cell>
        </row>
        <row r="267">
          <cell r="A267" t="str">
            <v>07 05 10*</v>
          </cell>
        </row>
        <row r="268">
          <cell r="A268" t="str">
            <v>07 05 11*</v>
          </cell>
        </row>
        <row r="269">
          <cell r="A269" t="str">
            <v>07 05 12</v>
          </cell>
        </row>
        <row r="270">
          <cell r="A270" t="str">
            <v>07 05 13*</v>
          </cell>
        </row>
        <row r="271">
          <cell r="A271" t="str">
            <v>07 05 14</v>
          </cell>
        </row>
        <row r="272">
          <cell r="A272" t="str">
            <v>07 05 80*</v>
          </cell>
        </row>
        <row r="273">
          <cell r="A273" t="str">
            <v>07 05 81</v>
          </cell>
        </row>
        <row r="274">
          <cell r="A274" t="str">
            <v>07 05 99</v>
          </cell>
        </row>
        <row r="275">
          <cell r="A275" t="str">
            <v>07 06 01*</v>
          </cell>
        </row>
        <row r="276">
          <cell r="A276" t="str">
            <v>07 06 03*</v>
          </cell>
        </row>
        <row r="277">
          <cell r="A277" t="str">
            <v>07 06 04*</v>
          </cell>
        </row>
        <row r="278">
          <cell r="A278" t="str">
            <v>07 06 07*</v>
          </cell>
        </row>
        <row r="279">
          <cell r="A279" t="str">
            <v>07 06 08*</v>
          </cell>
        </row>
        <row r="280">
          <cell r="A280" t="str">
            <v>07 06 09*</v>
          </cell>
        </row>
        <row r="281">
          <cell r="A281" t="str">
            <v>07 06 10*</v>
          </cell>
        </row>
        <row r="282">
          <cell r="A282" t="str">
            <v>07 06 11*</v>
          </cell>
        </row>
        <row r="283">
          <cell r="A283" t="str">
            <v>07 06 12</v>
          </cell>
        </row>
        <row r="284">
          <cell r="A284" t="str">
            <v>07 06 80</v>
          </cell>
        </row>
        <row r="285">
          <cell r="A285" t="str">
            <v>07 06 81</v>
          </cell>
        </row>
        <row r="286">
          <cell r="A286" t="str">
            <v>07 06 99</v>
          </cell>
        </row>
        <row r="287">
          <cell r="A287" t="str">
            <v>07 07 01*</v>
          </cell>
        </row>
        <row r="288">
          <cell r="A288" t="str">
            <v>07 07 03*</v>
          </cell>
        </row>
        <row r="289">
          <cell r="A289" t="str">
            <v>07 07 04*</v>
          </cell>
        </row>
        <row r="290">
          <cell r="A290" t="str">
            <v>07 07 07*</v>
          </cell>
        </row>
        <row r="291">
          <cell r="A291" t="str">
            <v>07 07 08*</v>
          </cell>
        </row>
        <row r="292">
          <cell r="A292" t="str">
            <v>07 07 09*</v>
          </cell>
        </row>
        <row r="293">
          <cell r="A293" t="str">
            <v>07 07 10*</v>
          </cell>
        </row>
        <row r="294">
          <cell r="A294" t="str">
            <v>07 07 11*</v>
          </cell>
        </row>
        <row r="295">
          <cell r="A295" t="str">
            <v>07 07 12</v>
          </cell>
        </row>
        <row r="296">
          <cell r="A296" t="str">
            <v>07 07 99</v>
          </cell>
        </row>
        <row r="297">
          <cell r="A297" t="str">
            <v>08 01 11*</v>
          </cell>
        </row>
        <row r="298">
          <cell r="A298" t="str">
            <v>08 01 12</v>
          </cell>
        </row>
        <row r="299">
          <cell r="A299" t="str">
            <v>08 01 13*</v>
          </cell>
        </row>
        <row r="300">
          <cell r="A300" t="str">
            <v>08 01 14</v>
          </cell>
        </row>
        <row r="301">
          <cell r="A301" t="str">
            <v>08 01 15*</v>
          </cell>
        </row>
        <row r="302">
          <cell r="A302" t="str">
            <v>08 01 16</v>
          </cell>
        </row>
        <row r="303">
          <cell r="A303" t="str">
            <v>08 01 17*</v>
          </cell>
        </row>
        <row r="304">
          <cell r="A304" t="str">
            <v>08 01 18</v>
          </cell>
        </row>
        <row r="305">
          <cell r="A305" t="str">
            <v>08 01 19*</v>
          </cell>
        </row>
        <row r="306">
          <cell r="A306" t="str">
            <v>08 01 20</v>
          </cell>
        </row>
        <row r="307">
          <cell r="A307" t="str">
            <v>08 01 21*</v>
          </cell>
        </row>
        <row r="308">
          <cell r="A308" t="str">
            <v>08 01 99</v>
          </cell>
        </row>
        <row r="309">
          <cell r="A309" t="str">
            <v>08 02 01</v>
          </cell>
        </row>
        <row r="310">
          <cell r="A310" t="str">
            <v>08 02 02</v>
          </cell>
        </row>
        <row r="311">
          <cell r="A311" t="str">
            <v>08 02 03</v>
          </cell>
        </row>
        <row r="312">
          <cell r="A312" t="str">
            <v>08 02 99</v>
          </cell>
        </row>
        <row r="313">
          <cell r="A313" t="str">
            <v>08 03 07</v>
          </cell>
        </row>
        <row r="314">
          <cell r="A314" t="str">
            <v>08 03 08</v>
          </cell>
        </row>
        <row r="315">
          <cell r="A315" t="str">
            <v>08 03 12*</v>
          </cell>
        </row>
        <row r="316">
          <cell r="A316" t="str">
            <v>08 03 13</v>
          </cell>
        </row>
        <row r="317">
          <cell r="A317" t="str">
            <v>08 03 14*</v>
          </cell>
        </row>
        <row r="318">
          <cell r="A318" t="str">
            <v>08 03 15</v>
          </cell>
        </row>
        <row r="319">
          <cell r="A319" t="str">
            <v>08 03 16*</v>
          </cell>
        </row>
        <row r="320">
          <cell r="A320" t="str">
            <v>08 03 17*</v>
          </cell>
        </row>
        <row r="321">
          <cell r="A321" t="str">
            <v>08 03 18</v>
          </cell>
        </row>
        <row r="322">
          <cell r="A322" t="str">
            <v>08 03 19*</v>
          </cell>
        </row>
        <row r="323">
          <cell r="A323" t="str">
            <v>08 03 80</v>
          </cell>
        </row>
        <row r="324">
          <cell r="A324" t="str">
            <v>08 03 99</v>
          </cell>
        </row>
        <row r="325">
          <cell r="A325" t="str">
            <v>08 04 09*</v>
          </cell>
        </row>
        <row r="326">
          <cell r="A326" t="str">
            <v>08 04 10</v>
          </cell>
        </row>
        <row r="327">
          <cell r="A327" t="str">
            <v>08 04 11*</v>
          </cell>
        </row>
        <row r="328">
          <cell r="A328" t="str">
            <v>08 04 12</v>
          </cell>
        </row>
        <row r="329">
          <cell r="A329" t="str">
            <v>08 04 13*</v>
          </cell>
        </row>
        <row r="330">
          <cell r="A330" t="str">
            <v>08 04 14</v>
          </cell>
        </row>
        <row r="331">
          <cell r="A331" t="str">
            <v>08 04 15*</v>
          </cell>
        </row>
        <row r="332">
          <cell r="A332" t="str">
            <v>08 04 16</v>
          </cell>
        </row>
        <row r="333">
          <cell r="A333" t="str">
            <v>08 04 17*</v>
          </cell>
        </row>
        <row r="334">
          <cell r="A334" t="str">
            <v>08 04 99</v>
          </cell>
        </row>
        <row r="335">
          <cell r="A335" t="str">
            <v>08 05 01*</v>
          </cell>
        </row>
        <row r="336">
          <cell r="A336" t="str">
            <v>09 01 01*</v>
          </cell>
        </row>
        <row r="337">
          <cell r="A337" t="str">
            <v>09 01 02*</v>
          </cell>
        </row>
        <row r="338">
          <cell r="A338" t="str">
            <v>09 01 03*</v>
          </cell>
        </row>
        <row r="339">
          <cell r="A339" t="str">
            <v>09 01 04*</v>
          </cell>
        </row>
        <row r="340">
          <cell r="A340" t="str">
            <v>09 01 05*</v>
          </cell>
        </row>
        <row r="341">
          <cell r="A341" t="str">
            <v>09 01 06*</v>
          </cell>
        </row>
        <row r="342">
          <cell r="A342" t="str">
            <v>09 01 07</v>
          </cell>
        </row>
        <row r="343">
          <cell r="A343" t="str">
            <v>09 01 08</v>
          </cell>
        </row>
        <row r="344">
          <cell r="A344" t="str">
            <v>09 01 10</v>
          </cell>
        </row>
        <row r="345">
          <cell r="A345" t="str">
            <v>09 01 11*</v>
          </cell>
        </row>
        <row r="346">
          <cell r="A346" t="str">
            <v>09 01 12</v>
          </cell>
        </row>
        <row r="347">
          <cell r="A347" t="str">
            <v>09 01 13*</v>
          </cell>
        </row>
        <row r="348">
          <cell r="A348" t="str">
            <v>09 01 80*</v>
          </cell>
        </row>
        <row r="349">
          <cell r="A349" t="str">
            <v>09 01 99</v>
          </cell>
        </row>
        <row r="350">
          <cell r="A350" t="str">
            <v>10 01 01</v>
          </cell>
        </row>
        <row r="351">
          <cell r="A351" t="str">
            <v>10 01 02</v>
          </cell>
        </row>
        <row r="352">
          <cell r="A352" t="str">
            <v>10 01 03</v>
          </cell>
        </row>
        <row r="353">
          <cell r="A353" t="str">
            <v>10 01 04*</v>
          </cell>
        </row>
        <row r="354">
          <cell r="A354" t="str">
            <v>10 01 05</v>
          </cell>
        </row>
        <row r="355">
          <cell r="A355" t="str">
            <v>10 01 07</v>
          </cell>
        </row>
        <row r="356">
          <cell r="A356" t="str">
            <v>10 01 09*</v>
          </cell>
        </row>
        <row r="357">
          <cell r="A357" t="str">
            <v>10 01 13*</v>
          </cell>
        </row>
        <row r="358">
          <cell r="A358" t="str">
            <v>10 01 14*</v>
          </cell>
        </row>
        <row r="359">
          <cell r="A359" t="str">
            <v>10 01 15</v>
          </cell>
        </row>
        <row r="360">
          <cell r="A360" t="str">
            <v>10 01 16*</v>
          </cell>
        </row>
        <row r="361">
          <cell r="A361" t="str">
            <v>10 01 17</v>
          </cell>
        </row>
        <row r="362">
          <cell r="A362" t="str">
            <v>10 01 18*</v>
          </cell>
        </row>
        <row r="363">
          <cell r="A363" t="str">
            <v>10 01 19</v>
          </cell>
        </row>
        <row r="364">
          <cell r="A364" t="str">
            <v>10 01 20*</v>
          </cell>
        </row>
        <row r="365">
          <cell r="A365" t="str">
            <v>10 01 21</v>
          </cell>
        </row>
        <row r="366">
          <cell r="A366" t="str">
            <v>10 01 22*</v>
          </cell>
        </row>
        <row r="367">
          <cell r="A367" t="str">
            <v>10 01 23</v>
          </cell>
        </row>
        <row r="368">
          <cell r="A368" t="str">
            <v>10 01 24</v>
          </cell>
        </row>
        <row r="369">
          <cell r="A369" t="str">
            <v>10 01 25</v>
          </cell>
        </row>
        <row r="370">
          <cell r="A370" t="str">
            <v>10 01 26</v>
          </cell>
        </row>
        <row r="371">
          <cell r="A371" t="str">
            <v>10 01 80</v>
          </cell>
        </row>
        <row r="372">
          <cell r="A372" t="str">
            <v>10 01 81</v>
          </cell>
        </row>
        <row r="373">
          <cell r="A373" t="str">
            <v>10 01 82</v>
          </cell>
        </row>
        <row r="374">
          <cell r="A374" t="str">
            <v>10 01 99</v>
          </cell>
        </row>
        <row r="375">
          <cell r="A375" t="str">
            <v>10 02 01</v>
          </cell>
        </row>
        <row r="376">
          <cell r="A376" t="str">
            <v>10 02 02</v>
          </cell>
        </row>
        <row r="377">
          <cell r="A377" t="str">
            <v>10 02 07*</v>
          </cell>
        </row>
        <row r="378">
          <cell r="A378" t="str">
            <v>10 02 08</v>
          </cell>
        </row>
        <row r="379">
          <cell r="A379" t="str">
            <v>10 02 10</v>
          </cell>
        </row>
        <row r="380">
          <cell r="A380" t="str">
            <v>10 02 11*</v>
          </cell>
        </row>
        <row r="381">
          <cell r="A381" t="str">
            <v>10 02 12</v>
          </cell>
        </row>
        <row r="382">
          <cell r="A382" t="str">
            <v>10 02 13*</v>
          </cell>
        </row>
        <row r="383">
          <cell r="A383" t="str">
            <v>10 02 14</v>
          </cell>
        </row>
        <row r="384">
          <cell r="A384" t="str">
            <v>10 02 15</v>
          </cell>
        </row>
        <row r="385">
          <cell r="A385" t="str">
            <v>10 02 80</v>
          </cell>
        </row>
        <row r="386">
          <cell r="A386" t="str">
            <v>10 02 81</v>
          </cell>
        </row>
        <row r="387">
          <cell r="A387" t="str">
            <v>10 02 99</v>
          </cell>
        </row>
        <row r="388">
          <cell r="A388" t="str">
            <v>10 03 02</v>
          </cell>
        </row>
        <row r="389">
          <cell r="A389" t="str">
            <v>10 03 04*</v>
          </cell>
        </row>
        <row r="390">
          <cell r="A390" t="str">
            <v>10 03 05</v>
          </cell>
        </row>
        <row r="391">
          <cell r="A391" t="str">
            <v>10 03 08*</v>
          </cell>
        </row>
        <row r="392">
          <cell r="A392" t="str">
            <v>10 03 09*</v>
          </cell>
        </row>
        <row r="393">
          <cell r="A393" t="str">
            <v>10 03 15*</v>
          </cell>
        </row>
        <row r="394">
          <cell r="A394" t="str">
            <v>10 03 16</v>
          </cell>
        </row>
        <row r="395">
          <cell r="A395" t="str">
            <v>10 03 17*</v>
          </cell>
        </row>
        <row r="396">
          <cell r="A396" t="str">
            <v>10 03 18</v>
          </cell>
        </row>
        <row r="397">
          <cell r="A397" t="str">
            <v>10 03 19*</v>
          </cell>
        </row>
        <row r="398">
          <cell r="A398" t="str">
            <v>10 03 20</v>
          </cell>
        </row>
        <row r="399">
          <cell r="A399" t="str">
            <v>10 03 21*</v>
          </cell>
        </row>
        <row r="400">
          <cell r="A400" t="str">
            <v>10 03 22</v>
          </cell>
        </row>
        <row r="401">
          <cell r="A401" t="str">
            <v>10 03 23*</v>
          </cell>
        </row>
        <row r="402">
          <cell r="A402" t="str">
            <v>10 03 24</v>
          </cell>
        </row>
        <row r="403">
          <cell r="A403" t="str">
            <v>10 03 25*</v>
          </cell>
        </row>
        <row r="404">
          <cell r="A404" t="str">
            <v>10 03 26</v>
          </cell>
        </row>
        <row r="405">
          <cell r="A405" t="str">
            <v>10 03 27*</v>
          </cell>
        </row>
        <row r="406">
          <cell r="A406" t="str">
            <v>10 03 28</v>
          </cell>
        </row>
        <row r="407">
          <cell r="A407" t="str">
            <v>10 03 29*</v>
          </cell>
        </row>
        <row r="408">
          <cell r="A408" t="str">
            <v>10 03 30</v>
          </cell>
        </row>
        <row r="409">
          <cell r="A409" t="str">
            <v>10 03 99</v>
          </cell>
        </row>
        <row r="410">
          <cell r="A410" t="str">
            <v>10 04 01*</v>
          </cell>
        </row>
        <row r="411">
          <cell r="A411" t="str">
            <v>10 04 02*</v>
          </cell>
        </row>
        <row r="412">
          <cell r="A412" t="str">
            <v>10 04 03*</v>
          </cell>
        </row>
        <row r="413">
          <cell r="A413" t="str">
            <v>10 04 04*</v>
          </cell>
        </row>
        <row r="414">
          <cell r="A414" t="str">
            <v>10 04 05*</v>
          </cell>
        </row>
        <row r="415">
          <cell r="A415" t="str">
            <v>10 04 06*</v>
          </cell>
        </row>
        <row r="416">
          <cell r="A416" t="str">
            <v>10 04 07*</v>
          </cell>
        </row>
        <row r="417">
          <cell r="A417" t="str">
            <v>10 04 09*</v>
          </cell>
        </row>
        <row r="418">
          <cell r="A418" t="str">
            <v>10 04 10</v>
          </cell>
        </row>
        <row r="419">
          <cell r="A419" t="str">
            <v>10 04 99</v>
          </cell>
        </row>
        <row r="420">
          <cell r="A420" t="str">
            <v>10 05 01</v>
          </cell>
        </row>
        <row r="421">
          <cell r="A421" t="str">
            <v>10 05 03*</v>
          </cell>
        </row>
        <row r="422">
          <cell r="A422" t="str">
            <v>10 05 04</v>
          </cell>
        </row>
        <row r="423">
          <cell r="A423" t="str">
            <v>10 05 05*</v>
          </cell>
        </row>
        <row r="424">
          <cell r="A424" t="str">
            <v>10 05 06*</v>
          </cell>
        </row>
        <row r="425">
          <cell r="A425" t="str">
            <v>10 05 08*</v>
          </cell>
        </row>
        <row r="426">
          <cell r="A426" t="str">
            <v>10 05 09</v>
          </cell>
        </row>
        <row r="427">
          <cell r="A427" t="str">
            <v>10 05 10*</v>
          </cell>
        </row>
        <row r="428">
          <cell r="A428" t="str">
            <v>10 05 11</v>
          </cell>
        </row>
        <row r="429">
          <cell r="A429" t="str">
            <v>10 05 80</v>
          </cell>
        </row>
        <row r="430">
          <cell r="A430" t="str">
            <v>10 05 99</v>
          </cell>
        </row>
        <row r="431">
          <cell r="A431" t="str">
            <v>10 06 01</v>
          </cell>
        </row>
        <row r="432">
          <cell r="A432" t="str">
            <v>10 06 02</v>
          </cell>
        </row>
        <row r="433">
          <cell r="A433" t="str">
            <v>10 06 03*</v>
          </cell>
        </row>
        <row r="434">
          <cell r="A434" t="str">
            <v>10 06 04</v>
          </cell>
        </row>
        <row r="435">
          <cell r="A435" t="str">
            <v>10 06 06*</v>
          </cell>
        </row>
        <row r="436">
          <cell r="A436" t="str">
            <v>10 06 07*</v>
          </cell>
        </row>
        <row r="437">
          <cell r="A437" t="str">
            <v>10 06 09*</v>
          </cell>
        </row>
        <row r="438">
          <cell r="A438" t="str">
            <v>10 06 10</v>
          </cell>
        </row>
        <row r="439">
          <cell r="A439" t="str">
            <v>10 06 80</v>
          </cell>
        </row>
        <row r="440">
          <cell r="A440" t="str">
            <v>10 06 99</v>
          </cell>
        </row>
        <row r="441">
          <cell r="A441" t="str">
            <v>10 07 01</v>
          </cell>
        </row>
        <row r="442">
          <cell r="A442" t="str">
            <v>10 07 02</v>
          </cell>
        </row>
        <row r="443">
          <cell r="A443" t="str">
            <v>10 07 03</v>
          </cell>
        </row>
        <row r="444">
          <cell r="A444" t="str">
            <v>10 07 04</v>
          </cell>
        </row>
        <row r="445">
          <cell r="A445" t="str">
            <v>10 07 05</v>
          </cell>
        </row>
        <row r="446">
          <cell r="A446" t="str">
            <v>10 07 07*</v>
          </cell>
        </row>
        <row r="447">
          <cell r="A447" t="str">
            <v>10 07 08</v>
          </cell>
        </row>
        <row r="448">
          <cell r="A448" t="str">
            <v>10 07 99</v>
          </cell>
        </row>
        <row r="449">
          <cell r="A449" t="str">
            <v>10 08 04</v>
          </cell>
        </row>
        <row r="450">
          <cell r="A450" t="str">
            <v>10 08 08*</v>
          </cell>
        </row>
        <row r="451">
          <cell r="A451" t="str">
            <v>10 08 09</v>
          </cell>
        </row>
        <row r="452">
          <cell r="A452" t="str">
            <v>10 08 10*</v>
          </cell>
        </row>
        <row r="453">
          <cell r="A453" t="str">
            <v>10 08 11</v>
          </cell>
        </row>
        <row r="454">
          <cell r="A454" t="str">
            <v>10 08 12*</v>
          </cell>
        </row>
        <row r="455">
          <cell r="A455" t="str">
            <v>10 08 13</v>
          </cell>
        </row>
        <row r="456">
          <cell r="A456" t="str">
            <v>10 08 14</v>
          </cell>
        </row>
        <row r="457">
          <cell r="A457" t="str">
            <v>10 08 15*</v>
          </cell>
        </row>
        <row r="458">
          <cell r="A458" t="str">
            <v>10 08 16</v>
          </cell>
        </row>
        <row r="459">
          <cell r="A459" t="str">
            <v>10 08 17*</v>
          </cell>
        </row>
        <row r="460">
          <cell r="A460" t="str">
            <v>10 08 18</v>
          </cell>
        </row>
        <row r="461">
          <cell r="A461" t="str">
            <v>10 08 19*</v>
          </cell>
        </row>
        <row r="462">
          <cell r="A462" t="str">
            <v>10 08 20</v>
          </cell>
        </row>
        <row r="463">
          <cell r="A463" t="str">
            <v>10 08 99</v>
          </cell>
        </row>
        <row r="464">
          <cell r="A464" t="str">
            <v>10 09 03</v>
          </cell>
        </row>
        <row r="465">
          <cell r="A465" t="str">
            <v>10 09 05*</v>
          </cell>
        </row>
        <row r="466">
          <cell r="A466" t="str">
            <v>10 09 06</v>
          </cell>
        </row>
        <row r="467">
          <cell r="A467" t="str">
            <v>10 09 07*</v>
          </cell>
        </row>
        <row r="468">
          <cell r="A468" t="str">
            <v>10 09 08</v>
          </cell>
        </row>
        <row r="469">
          <cell r="A469" t="str">
            <v>10 09 09*</v>
          </cell>
        </row>
        <row r="470">
          <cell r="A470" t="str">
            <v>10 09 10</v>
          </cell>
        </row>
        <row r="471">
          <cell r="A471" t="str">
            <v>10 09 11*</v>
          </cell>
        </row>
        <row r="472">
          <cell r="A472" t="str">
            <v>10 09 12</v>
          </cell>
        </row>
        <row r="473">
          <cell r="A473" t="str">
            <v>10 09 13*</v>
          </cell>
        </row>
        <row r="474">
          <cell r="A474" t="str">
            <v>10 09 14</v>
          </cell>
        </row>
        <row r="475">
          <cell r="A475" t="str">
            <v>10 09 15*</v>
          </cell>
        </row>
        <row r="476">
          <cell r="A476" t="str">
            <v>10 09 16</v>
          </cell>
        </row>
        <row r="477">
          <cell r="A477" t="str">
            <v>10 09 80</v>
          </cell>
        </row>
        <row r="478">
          <cell r="A478" t="str">
            <v>10 09 99</v>
          </cell>
        </row>
        <row r="479">
          <cell r="A479" t="str">
            <v>10 10 03</v>
          </cell>
        </row>
        <row r="480">
          <cell r="A480" t="str">
            <v>10 10 05*</v>
          </cell>
        </row>
        <row r="481">
          <cell r="A481" t="str">
            <v>10 10 06</v>
          </cell>
        </row>
        <row r="482">
          <cell r="A482" t="str">
            <v>10 10 07*</v>
          </cell>
        </row>
        <row r="483">
          <cell r="A483" t="str">
            <v>10 10 08</v>
          </cell>
        </row>
        <row r="484">
          <cell r="A484" t="str">
            <v>10 10 09*</v>
          </cell>
        </row>
        <row r="485">
          <cell r="A485" t="str">
            <v>10 10 10</v>
          </cell>
        </row>
        <row r="486">
          <cell r="A486" t="str">
            <v>10 10 11*</v>
          </cell>
        </row>
        <row r="487">
          <cell r="A487" t="str">
            <v>10 10 12</v>
          </cell>
        </row>
        <row r="488">
          <cell r="A488" t="str">
            <v>10 10 13*</v>
          </cell>
        </row>
        <row r="489">
          <cell r="A489" t="str">
            <v>10 10 14</v>
          </cell>
        </row>
        <row r="490">
          <cell r="A490" t="str">
            <v>10 10 15*</v>
          </cell>
        </row>
        <row r="491">
          <cell r="A491" t="str">
            <v>10 10 16</v>
          </cell>
        </row>
        <row r="492">
          <cell r="A492" t="str">
            <v>10 10 99</v>
          </cell>
        </row>
        <row r="493">
          <cell r="A493" t="str">
            <v>10 11 03</v>
          </cell>
        </row>
        <row r="494">
          <cell r="A494" t="str">
            <v>10 11 05</v>
          </cell>
        </row>
        <row r="495">
          <cell r="A495" t="str">
            <v>10 11 09*</v>
          </cell>
        </row>
        <row r="496">
          <cell r="A496" t="str">
            <v>10 11 10</v>
          </cell>
        </row>
        <row r="497">
          <cell r="A497" t="str">
            <v>10 11 11*</v>
          </cell>
        </row>
        <row r="498">
          <cell r="A498" t="str">
            <v>10 11 12</v>
          </cell>
        </row>
        <row r="499">
          <cell r="A499" t="str">
            <v>10 11 13*</v>
          </cell>
        </row>
        <row r="500">
          <cell r="A500" t="str">
            <v>10 11 14</v>
          </cell>
        </row>
        <row r="501">
          <cell r="A501" t="str">
            <v>10 11 15*</v>
          </cell>
        </row>
        <row r="502">
          <cell r="A502" t="str">
            <v>10 11 16</v>
          </cell>
        </row>
        <row r="503">
          <cell r="A503" t="str">
            <v>10 11 17*</v>
          </cell>
        </row>
        <row r="504">
          <cell r="A504" t="str">
            <v>10 11 18</v>
          </cell>
        </row>
        <row r="505">
          <cell r="A505" t="str">
            <v>10 11 19*</v>
          </cell>
        </row>
        <row r="506">
          <cell r="A506" t="str">
            <v>10 11 20</v>
          </cell>
        </row>
        <row r="507">
          <cell r="A507" t="str">
            <v>10 11 80</v>
          </cell>
        </row>
        <row r="508">
          <cell r="A508" t="str">
            <v>10 11 81*</v>
          </cell>
        </row>
        <row r="509">
          <cell r="A509" t="str">
            <v>10 11 99</v>
          </cell>
        </row>
        <row r="510">
          <cell r="A510" t="str">
            <v>10 12 01</v>
          </cell>
        </row>
        <row r="511">
          <cell r="A511" t="str">
            <v>10 12 03</v>
          </cell>
        </row>
        <row r="512">
          <cell r="A512" t="str">
            <v>10 12 05</v>
          </cell>
        </row>
        <row r="513">
          <cell r="A513" t="str">
            <v>10 12 06</v>
          </cell>
        </row>
        <row r="514">
          <cell r="A514" t="str">
            <v>10 12 08</v>
          </cell>
        </row>
        <row r="515">
          <cell r="A515" t="str">
            <v>10 12 09*</v>
          </cell>
        </row>
        <row r="516">
          <cell r="A516" t="str">
            <v>10 12 10</v>
          </cell>
        </row>
        <row r="517">
          <cell r="A517" t="str">
            <v>10 12 11*</v>
          </cell>
        </row>
        <row r="518">
          <cell r="A518" t="str">
            <v>10 12 12</v>
          </cell>
        </row>
        <row r="519">
          <cell r="A519" t="str">
            <v>10 12 13</v>
          </cell>
        </row>
        <row r="520">
          <cell r="A520" t="str">
            <v>10 12 99</v>
          </cell>
        </row>
        <row r="521">
          <cell r="A521" t="str">
            <v>10 13 01</v>
          </cell>
        </row>
        <row r="522">
          <cell r="A522" t="str">
            <v>10 13 04</v>
          </cell>
        </row>
        <row r="523">
          <cell r="A523" t="str">
            <v>10 13 06</v>
          </cell>
        </row>
        <row r="524">
          <cell r="A524" t="str">
            <v>10 13 07</v>
          </cell>
        </row>
        <row r="525">
          <cell r="A525" t="str">
            <v>10 13 09*</v>
          </cell>
        </row>
        <row r="526">
          <cell r="A526" t="str">
            <v>10 13 10</v>
          </cell>
        </row>
        <row r="527">
          <cell r="A527" t="str">
            <v>10 13 11</v>
          </cell>
        </row>
        <row r="528">
          <cell r="A528" t="str">
            <v>10 13 12*</v>
          </cell>
        </row>
        <row r="529">
          <cell r="A529" t="str">
            <v>10 13 13</v>
          </cell>
        </row>
        <row r="530">
          <cell r="A530" t="str">
            <v>10 13 14</v>
          </cell>
        </row>
        <row r="531">
          <cell r="A531" t="str">
            <v>10 13 80</v>
          </cell>
        </row>
        <row r="532">
          <cell r="A532" t="str">
            <v>10 13 81</v>
          </cell>
        </row>
        <row r="533">
          <cell r="A533" t="str">
            <v>10 13 82</v>
          </cell>
        </row>
        <row r="534">
          <cell r="A534" t="str">
            <v>10 13 99</v>
          </cell>
        </row>
        <row r="535">
          <cell r="A535" t="str">
            <v>10 14 01*</v>
          </cell>
        </row>
        <row r="536">
          <cell r="A536" t="str">
            <v>10 80 01</v>
          </cell>
        </row>
        <row r="537">
          <cell r="A537" t="str">
            <v>10 80 02</v>
          </cell>
        </row>
        <row r="538">
          <cell r="A538" t="str">
            <v>10 80 03</v>
          </cell>
        </row>
        <row r="539">
          <cell r="A539" t="str">
            <v>10 80 04</v>
          </cell>
        </row>
        <row r="540">
          <cell r="A540" t="str">
            <v>10 80 05</v>
          </cell>
        </row>
        <row r="541">
          <cell r="A541" t="str">
            <v>10 80 06</v>
          </cell>
        </row>
        <row r="542">
          <cell r="A542" t="str">
            <v>10 80 99</v>
          </cell>
        </row>
        <row r="543">
          <cell r="A543" t="str">
            <v>11 01 05*</v>
          </cell>
        </row>
        <row r="544">
          <cell r="A544" t="str">
            <v>11 01 06*</v>
          </cell>
        </row>
        <row r="545">
          <cell r="A545" t="str">
            <v>11 01 07*</v>
          </cell>
        </row>
        <row r="546">
          <cell r="A546" t="str">
            <v>11 01 08*</v>
          </cell>
        </row>
        <row r="547">
          <cell r="A547" t="str">
            <v>11 01 09*</v>
          </cell>
        </row>
        <row r="548">
          <cell r="A548" t="str">
            <v>11 01 10</v>
          </cell>
        </row>
        <row r="549">
          <cell r="A549" t="str">
            <v>11 01 11*</v>
          </cell>
        </row>
        <row r="550">
          <cell r="A550" t="str">
            <v>11 01 12</v>
          </cell>
        </row>
        <row r="551">
          <cell r="A551" t="str">
            <v>11 01 13*</v>
          </cell>
        </row>
        <row r="552">
          <cell r="A552" t="str">
            <v>11 01 14</v>
          </cell>
        </row>
        <row r="553">
          <cell r="A553" t="str">
            <v>11 01 15*</v>
          </cell>
        </row>
        <row r="554">
          <cell r="A554" t="str">
            <v>11 01 16*</v>
          </cell>
        </row>
        <row r="555">
          <cell r="A555" t="str">
            <v>11 01 98*</v>
          </cell>
        </row>
        <row r="556">
          <cell r="A556" t="str">
            <v>11 01 99</v>
          </cell>
        </row>
        <row r="557">
          <cell r="A557" t="str">
            <v>11 02 02*</v>
          </cell>
        </row>
        <row r="558">
          <cell r="A558" t="str">
            <v>11 02 03</v>
          </cell>
        </row>
        <row r="559">
          <cell r="A559" t="str">
            <v>11 02 05*</v>
          </cell>
        </row>
        <row r="560">
          <cell r="A560" t="str">
            <v>11 02 06</v>
          </cell>
        </row>
        <row r="561">
          <cell r="A561" t="str">
            <v>11 02 07*</v>
          </cell>
        </row>
        <row r="562">
          <cell r="A562" t="str">
            <v>11 02 99</v>
          </cell>
        </row>
        <row r="563">
          <cell r="A563" t="str">
            <v>11 03 01*</v>
          </cell>
        </row>
        <row r="564">
          <cell r="A564" t="str">
            <v>11 03 02*</v>
          </cell>
        </row>
        <row r="565">
          <cell r="A565" t="str">
            <v>11 05 01</v>
          </cell>
        </row>
        <row r="566">
          <cell r="A566" t="str">
            <v>11 05 02</v>
          </cell>
        </row>
        <row r="567">
          <cell r="A567" t="str">
            <v>11 05 03*</v>
          </cell>
        </row>
        <row r="568">
          <cell r="A568" t="str">
            <v>11 05 04*</v>
          </cell>
        </row>
        <row r="569">
          <cell r="A569" t="str">
            <v>11 05 99</v>
          </cell>
        </row>
        <row r="570">
          <cell r="A570" t="str">
            <v>12 01 01</v>
          </cell>
        </row>
        <row r="571">
          <cell r="A571" t="str">
            <v>12 01 02</v>
          </cell>
        </row>
        <row r="572">
          <cell r="A572" t="str">
            <v>12 01 03</v>
          </cell>
        </row>
        <row r="573">
          <cell r="A573" t="str">
            <v>12 01 04</v>
          </cell>
        </row>
        <row r="574">
          <cell r="A574" t="str">
            <v>12 01 05</v>
          </cell>
        </row>
        <row r="575">
          <cell r="A575" t="str">
            <v>12 01 06*</v>
          </cell>
        </row>
        <row r="576">
          <cell r="A576" t="str">
            <v>12 01 07*</v>
          </cell>
        </row>
        <row r="577">
          <cell r="A577" t="str">
            <v>12 01 08*</v>
          </cell>
        </row>
        <row r="578">
          <cell r="A578" t="str">
            <v>12 01 09*</v>
          </cell>
        </row>
        <row r="579">
          <cell r="A579" t="str">
            <v>12 01 10*</v>
          </cell>
        </row>
        <row r="580">
          <cell r="A580" t="str">
            <v>12 01 12*</v>
          </cell>
        </row>
        <row r="581">
          <cell r="A581" t="str">
            <v>12 01 13</v>
          </cell>
        </row>
        <row r="582">
          <cell r="A582" t="str">
            <v>12 01 14*</v>
          </cell>
        </row>
        <row r="583">
          <cell r="A583" t="str">
            <v>12 01 15</v>
          </cell>
        </row>
        <row r="584">
          <cell r="A584" t="str">
            <v>12 01 16*</v>
          </cell>
        </row>
        <row r="585">
          <cell r="A585" t="str">
            <v>12 01 17</v>
          </cell>
        </row>
        <row r="586">
          <cell r="A586" t="str">
            <v>12 01 18*</v>
          </cell>
        </row>
        <row r="587">
          <cell r="A587" t="str">
            <v>12 01 19*</v>
          </cell>
        </row>
        <row r="588">
          <cell r="A588" t="str">
            <v>12 01 20*</v>
          </cell>
        </row>
        <row r="589">
          <cell r="A589" t="str">
            <v>12 01 21</v>
          </cell>
        </row>
        <row r="590">
          <cell r="A590" t="str">
            <v>12 01 99</v>
          </cell>
        </row>
        <row r="591">
          <cell r="A591" t="str">
            <v>12 03 01*</v>
          </cell>
        </row>
        <row r="592">
          <cell r="A592" t="str">
            <v>12 03 02*</v>
          </cell>
        </row>
        <row r="593">
          <cell r="A593" t="str">
            <v>13 01 01*</v>
          </cell>
        </row>
        <row r="594">
          <cell r="A594" t="str">
            <v>13 01 04*</v>
          </cell>
        </row>
        <row r="595">
          <cell r="A595" t="str">
            <v>13 01 05*</v>
          </cell>
        </row>
        <row r="596">
          <cell r="A596" t="str">
            <v>13 01 09*</v>
          </cell>
        </row>
        <row r="597">
          <cell r="A597" t="str">
            <v>13 01 10*</v>
          </cell>
        </row>
        <row r="598">
          <cell r="A598" t="str">
            <v>13 01 11*</v>
          </cell>
        </row>
        <row r="599">
          <cell r="A599" t="str">
            <v>13 01 12*</v>
          </cell>
        </row>
        <row r="600">
          <cell r="A600" t="str">
            <v>13 01 13*</v>
          </cell>
        </row>
        <row r="601">
          <cell r="A601" t="str">
            <v>13 02 04*</v>
          </cell>
        </row>
        <row r="602">
          <cell r="A602" t="str">
            <v>13 02 05*</v>
          </cell>
        </row>
        <row r="603">
          <cell r="A603" t="str">
            <v>13 02 06*</v>
          </cell>
        </row>
        <row r="604">
          <cell r="A604" t="str">
            <v>13 02 07*</v>
          </cell>
        </row>
        <row r="605">
          <cell r="A605" t="str">
            <v>13 02 08*</v>
          </cell>
        </row>
        <row r="606">
          <cell r="A606" t="str">
            <v>13 03 01*</v>
          </cell>
        </row>
        <row r="607">
          <cell r="A607" t="str">
            <v>13 03 06*</v>
          </cell>
        </row>
        <row r="608">
          <cell r="A608" t="str">
            <v>13 03 07*</v>
          </cell>
        </row>
        <row r="609">
          <cell r="A609" t="str">
            <v>13 03 08*</v>
          </cell>
        </row>
        <row r="610">
          <cell r="A610" t="str">
            <v>13 03 09*</v>
          </cell>
        </row>
        <row r="611">
          <cell r="A611" t="str">
            <v>13 03 10*</v>
          </cell>
        </row>
        <row r="612">
          <cell r="A612" t="str">
            <v>13 04 01*</v>
          </cell>
        </row>
        <row r="613">
          <cell r="A613" t="str">
            <v>13 04 02*</v>
          </cell>
        </row>
        <row r="614">
          <cell r="A614" t="str">
            <v>13 04 03*</v>
          </cell>
        </row>
        <row r="615">
          <cell r="A615" t="str">
            <v>13 05 01*</v>
          </cell>
        </row>
        <row r="616">
          <cell r="A616" t="str">
            <v>13 05 02*</v>
          </cell>
        </row>
        <row r="617">
          <cell r="A617" t="str">
            <v>13 05 03*</v>
          </cell>
        </row>
        <row r="618">
          <cell r="A618" t="str">
            <v>13 05 06*</v>
          </cell>
        </row>
        <row r="619">
          <cell r="A619" t="str">
            <v>13 05 07*</v>
          </cell>
        </row>
        <row r="620">
          <cell r="A620" t="str">
            <v>13 05 08*</v>
          </cell>
        </row>
        <row r="621">
          <cell r="A621" t="str">
            <v>13 07 01*</v>
          </cell>
        </row>
        <row r="622">
          <cell r="A622" t="str">
            <v>13 07 02*</v>
          </cell>
        </row>
        <row r="623">
          <cell r="A623" t="str">
            <v>13 07 03*</v>
          </cell>
        </row>
        <row r="624">
          <cell r="A624" t="str">
            <v>13 08 01*</v>
          </cell>
        </row>
        <row r="625">
          <cell r="A625" t="str">
            <v>13 08 02*</v>
          </cell>
        </row>
        <row r="626">
          <cell r="A626" t="str">
            <v>13 08 80</v>
          </cell>
        </row>
        <row r="627">
          <cell r="A627" t="str">
            <v>13 08 99*</v>
          </cell>
        </row>
        <row r="628">
          <cell r="A628" t="str">
            <v>14 06 01*</v>
          </cell>
        </row>
        <row r="629">
          <cell r="A629" t="str">
            <v>14 06 02*</v>
          </cell>
        </row>
        <row r="630">
          <cell r="A630" t="str">
            <v>14 06 03*</v>
          </cell>
        </row>
        <row r="631">
          <cell r="A631" t="str">
            <v>14 06 04*</v>
          </cell>
        </row>
        <row r="632">
          <cell r="A632" t="str">
            <v>14 06 05*</v>
          </cell>
        </row>
        <row r="633">
          <cell r="A633" t="str">
            <v>15 01 01</v>
          </cell>
        </row>
        <row r="634">
          <cell r="A634" t="str">
            <v>15 01 02</v>
          </cell>
        </row>
        <row r="635">
          <cell r="A635" t="str">
            <v>15 01 03</v>
          </cell>
        </row>
        <row r="636">
          <cell r="A636" t="str">
            <v>15 01 04</v>
          </cell>
        </row>
        <row r="637">
          <cell r="A637" t="str">
            <v>15 01 05</v>
          </cell>
        </row>
        <row r="638">
          <cell r="A638" t="str">
            <v>15 01 06</v>
          </cell>
        </row>
        <row r="639">
          <cell r="A639" t="str">
            <v>15 01 07</v>
          </cell>
        </row>
        <row r="640">
          <cell r="A640" t="str">
            <v>15 01 09</v>
          </cell>
        </row>
        <row r="641">
          <cell r="A641" t="str">
            <v>15 01 10*</v>
          </cell>
        </row>
        <row r="642">
          <cell r="A642" t="str">
            <v>15 01 11*</v>
          </cell>
        </row>
        <row r="643">
          <cell r="A643" t="str">
            <v>15 02 02*</v>
          </cell>
        </row>
        <row r="644">
          <cell r="A644" t="str">
            <v>15 02 03</v>
          </cell>
        </row>
        <row r="645">
          <cell r="A645" t="str">
            <v>16 01 03</v>
          </cell>
        </row>
        <row r="646">
          <cell r="A646" t="str">
            <v>16 01 04*</v>
          </cell>
        </row>
        <row r="647">
          <cell r="A647" t="str">
            <v>16 01 06</v>
          </cell>
        </row>
        <row r="648">
          <cell r="A648" t="str">
            <v>16 01 07*</v>
          </cell>
        </row>
        <row r="649">
          <cell r="A649" t="str">
            <v>16 01 08*</v>
          </cell>
        </row>
        <row r="650">
          <cell r="A650" t="str">
            <v>16 01 09*</v>
          </cell>
        </row>
        <row r="651">
          <cell r="A651" t="str">
            <v>16 01 10*</v>
          </cell>
        </row>
        <row r="652">
          <cell r="A652" t="str">
            <v>16 01 11*</v>
          </cell>
        </row>
        <row r="653">
          <cell r="A653" t="str">
            <v>16 01 12</v>
          </cell>
        </row>
        <row r="654">
          <cell r="A654" t="str">
            <v>16 01 13*</v>
          </cell>
        </row>
        <row r="655">
          <cell r="A655" t="str">
            <v>16 01 14*</v>
          </cell>
        </row>
        <row r="656">
          <cell r="A656" t="str">
            <v>16 01 15</v>
          </cell>
        </row>
        <row r="657">
          <cell r="A657" t="str">
            <v>16 01 16</v>
          </cell>
        </row>
        <row r="658">
          <cell r="A658" t="str">
            <v>16 01 17</v>
          </cell>
        </row>
        <row r="659">
          <cell r="A659" t="str">
            <v>16 01 18</v>
          </cell>
        </row>
        <row r="660">
          <cell r="A660" t="str">
            <v>16 01 19</v>
          </cell>
        </row>
        <row r="661">
          <cell r="A661" t="str">
            <v>16 01 20</v>
          </cell>
        </row>
        <row r="662">
          <cell r="A662" t="str">
            <v>16 01 21*</v>
          </cell>
        </row>
        <row r="663">
          <cell r="A663" t="str">
            <v>16 01 22</v>
          </cell>
        </row>
        <row r="664">
          <cell r="A664" t="str">
            <v>16 01 99</v>
          </cell>
        </row>
        <row r="665">
          <cell r="A665" t="str">
            <v>16 02 09*</v>
          </cell>
        </row>
        <row r="666">
          <cell r="A666" t="str">
            <v>16 02 10*</v>
          </cell>
        </row>
        <row r="667">
          <cell r="A667" t="str">
            <v>16 02 11*</v>
          </cell>
        </row>
        <row r="668">
          <cell r="A668" t="str">
            <v>16 02 12*</v>
          </cell>
        </row>
        <row r="669">
          <cell r="A669" t="str">
            <v>16 02 13*</v>
          </cell>
        </row>
        <row r="670">
          <cell r="A670" t="str">
            <v>16 02 14</v>
          </cell>
        </row>
        <row r="671">
          <cell r="A671" t="str">
            <v>16 02 15*</v>
          </cell>
        </row>
        <row r="672">
          <cell r="A672" t="str">
            <v>16 02 16</v>
          </cell>
        </row>
        <row r="673">
          <cell r="A673" t="str">
            <v>16 03 03*</v>
          </cell>
        </row>
        <row r="674">
          <cell r="A674" t="str">
            <v>16 03 04</v>
          </cell>
        </row>
        <row r="675">
          <cell r="A675" t="str">
            <v>16 03 05*</v>
          </cell>
        </row>
        <row r="676">
          <cell r="A676" t="str">
            <v>16 03 06</v>
          </cell>
        </row>
        <row r="677">
          <cell r="A677" t="str">
            <v>16 03 80</v>
          </cell>
        </row>
        <row r="678">
          <cell r="A678" t="str">
            <v>16 04 01*</v>
          </cell>
        </row>
        <row r="679">
          <cell r="A679" t="str">
            <v>16 04 02*</v>
          </cell>
        </row>
        <row r="680">
          <cell r="A680" t="str">
            <v>16 04 03*</v>
          </cell>
        </row>
        <row r="681">
          <cell r="A681" t="str">
            <v>16 05 04*</v>
          </cell>
        </row>
        <row r="682">
          <cell r="A682" t="str">
            <v>16 05 05</v>
          </cell>
        </row>
        <row r="683">
          <cell r="A683" t="str">
            <v>16 05 06*</v>
          </cell>
        </row>
        <row r="684">
          <cell r="A684" t="str">
            <v>16 05 07*</v>
          </cell>
        </row>
        <row r="685">
          <cell r="A685" t="str">
            <v>16 05 08*</v>
          </cell>
        </row>
        <row r="686">
          <cell r="A686" t="str">
            <v>16 05 09</v>
          </cell>
        </row>
        <row r="687">
          <cell r="A687" t="str">
            <v>16 06 01*</v>
          </cell>
        </row>
        <row r="688">
          <cell r="A688" t="str">
            <v>16 06 02*</v>
          </cell>
        </row>
        <row r="689">
          <cell r="A689" t="str">
            <v>16 06 03*</v>
          </cell>
        </row>
        <row r="690">
          <cell r="A690" t="str">
            <v>16 06 04</v>
          </cell>
        </row>
        <row r="691">
          <cell r="A691" t="str">
            <v>16 06 05</v>
          </cell>
        </row>
        <row r="692">
          <cell r="A692" t="str">
            <v>16 06 06*</v>
          </cell>
        </row>
        <row r="693">
          <cell r="A693" t="str">
            <v>16 07 08*</v>
          </cell>
        </row>
        <row r="694">
          <cell r="A694" t="str">
            <v>16 07 09*</v>
          </cell>
        </row>
        <row r="695">
          <cell r="A695" t="str">
            <v>16 07 99</v>
          </cell>
        </row>
        <row r="696">
          <cell r="A696" t="str">
            <v>16 08 01</v>
          </cell>
        </row>
        <row r="697">
          <cell r="A697" t="str">
            <v>16 08 02*</v>
          </cell>
        </row>
        <row r="698">
          <cell r="A698" t="str">
            <v>16 08 03</v>
          </cell>
        </row>
        <row r="699">
          <cell r="A699" t="str">
            <v>16 08 04</v>
          </cell>
        </row>
        <row r="700">
          <cell r="A700" t="str">
            <v>16 08 05*</v>
          </cell>
        </row>
        <row r="701">
          <cell r="A701" t="str">
            <v>16 08 06*</v>
          </cell>
        </row>
        <row r="702">
          <cell r="A702" t="str">
            <v>16 08 07*</v>
          </cell>
        </row>
        <row r="703">
          <cell r="A703" t="str">
            <v>16 09 01*</v>
          </cell>
        </row>
        <row r="704">
          <cell r="A704" t="str">
            <v>16 09 02*</v>
          </cell>
        </row>
        <row r="705">
          <cell r="A705" t="str">
            <v>16 09 03*</v>
          </cell>
        </row>
        <row r="706">
          <cell r="A706" t="str">
            <v>16 09 04*</v>
          </cell>
        </row>
        <row r="707">
          <cell r="A707" t="str">
            <v>16 10 01*</v>
          </cell>
        </row>
        <row r="708">
          <cell r="A708" t="str">
            <v>16 10 02</v>
          </cell>
        </row>
        <row r="709">
          <cell r="A709" t="str">
            <v>16 10 03*</v>
          </cell>
        </row>
        <row r="710">
          <cell r="A710" t="str">
            <v>16 10 04</v>
          </cell>
        </row>
        <row r="711">
          <cell r="A711" t="str">
            <v>16 11 01*</v>
          </cell>
        </row>
        <row r="712">
          <cell r="A712" t="str">
            <v>16 11 02</v>
          </cell>
        </row>
        <row r="713">
          <cell r="A713" t="str">
            <v>16 11 03*</v>
          </cell>
        </row>
        <row r="714">
          <cell r="A714" t="str">
            <v>16 11 04</v>
          </cell>
        </row>
        <row r="715">
          <cell r="A715" t="str">
            <v>16 11 05*</v>
          </cell>
        </row>
        <row r="716">
          <cell r="A716" t="str">
            <v>16 11 06</v>
          </cell>
        </row>
        <row r="717">
          <cell r="A717" t="str">
            <v>16 80 01</v>
          </cell>
        </row>
        <row r="718">
          <cell r="A718" t="str">
            <v>16 81 01*</v>
          </cell>
        </row>
        <row r="719">
          <cell r="A719" t="str">
            <v>16 81 02</v>
          </cell>
        </row>
        <row r="720">
          <cell r="A720" t="str">
            <v>16 82 01*</v>
          </cell>
        </row>
        <row r="721">
          <cell r="A721" t="str">
            <v>16 82 02</v>
          </cell>
        </row>
        <row r="722">
          <cell r="A722" t="str">
            <v>17 01 01</v>
          </cell>
        </row>
        <row r="723">
          <cell r="A723" t="str">
            <v>17 01 02</v>
          </cell>
        </row>
        <row r="724">
          <cell r="A724" t="str">
            <v>17 01 03</v>
          </cell>
        </row>
        <row r="725">
          <cell r="A725" t="str">
            <v>17 01 06*</v>
          </cell>
        </row>
        <row r="726">
          <cell r="A726" t="str">
            <v>17 01 07</v>
          </cell>
        </row>
        <row r="727">
          <cell r="A727" t="str">
            <v>17 01 80</v>
          </cell>
        </row>
        <row r="728">
          <cell r="A728" t="str">
            <v>17 01 81</v>
          </cell>
        </row>
        <row r="729">
          <cell r="A729" t="str">
            <v>17 01 82</v>
          </cell>
        </row>
        <row r="730">
          <cell r="A730" t="str">
            <v>17 02 01</v>
          </cell>
        </row>
        <row r="731">
          <cell r="A731" t="str">
            <v>17 02 02</v>
          </cell>
        </row>
        <row r="732">
          <cell r="A732" t="str">
            <v>17 02 03</v>
          </cell>
        </row>
        <row r="733">
          <cell r="A733" t="str">
            <v>17 02 04*</v>
          </cell>
        </row>
        <row r="734">
          <cell r="A734" t="str">
            <v>17 03 01*</v>
          </cell>
        </row>
        <row r="735">
          <cell r="A735" t="str">
            <v>17 03 02</v>
          </cell>
        </row>
        <row r="736">
          <cell r="A736" t="str">
            <v>17 03 03*</v>
          </cell>
        </row>
        <row r="737">
          <cell r="A737" t="str">
            <v>17 03 80</v>
          </cell>
        </row>
        <row r="738">
          <cell r="A738" t="str">
            <v>17 04 01</v>
          </cell>
        </row>
        <row r="739">
          <cell r="A739" t="str">
            <v>17 04 02</v>
          </cell>
        </row>
        <row r="740">
          <cell r="A740" t="str">
            <v>17 04 03</v>
          </cell>
        </row>
        <row r="741">
          <cell r="A741" t="str">
            <v>17 04 04</v>
          </cell>
        </row>
        <row r="742">
          <cell r="A742" t="str">
            <v>17 04 05</v>
          </cell>
        </row>
        <row r="743">
          <cell r="A743" t="str">
            <v>17 04 06</v>
          </cell>
        </row>
        <row r="744">
          <cell r="A744" t="str">
            <v>17 04 07</v>
          </cell>
        </row>
        <row r="745">
          <cell r="A745" t="str">
            <v>17 04 09*</v>
          </cell>
        </row>
        <row r="746">
          <cell r="A746" t="str">
            <v>17 04 10*</v>
          </cell>
        </row>
        <row r="747">
          <cell r="A747" t="str">
            <v>17 04 11</v>
          </cell>
        </row>
        <row r="748">
          <cell r="A748" t="str">
            <v>17 05 03*</v>
          </cell>
        </row>
        <row r="749">
          <cell r="A749" t="str">
            <v>17 05 04</v>
          </cell>
        </row>
        <row r="750">
          <cell r="A750" t="str">
            <v>17 05 05*</v>
          </cell>
        </row>
        <row r="751">
          <cell r="A751" t="str">
            <v>17 05 06</v>
          </cell>
        </row>
        <row r="752">
          <cell r="A752" t="str">
            <v>17 05 07*</v>
          </cell>
        </row>
        <row r="753">
          <cell r="A753" t="str">
            <v>17 05 08</v>
          </cell>
        </row>
        <row r="754">
          <cell r="A754" t="str">
            <v>17 06 01*</v>
          </cell>
        </row>
        <row r="755">
          <cell r="A755" t="str">
            <v>17 06 03*</v>
          </cell>
        </row>
        <row r="756">
          <cell r="A756" t="str">
            <v>17 06 04</v>
          </cell>
        </row>
        <row r="757">
          <cell r="A757" t="str">
            <v>17 06 05*</v>
          </cell>
        </row>
        <row r="758">
          <cell r="A758" t="str">
            <v>17 08 01*</v>
          </cell>
        </row>
        <row r="759">
          <cell r="A759" t="str">
            <v>17 08 02</v>
          </cell>
        </row>
        <row r="760">
          <cell r="A760" t="str">
            <v>17 09 01*</v>
          </cell>
        </row>
        <row r="761">
          <cell r="A761" t="str">
            <v>17 09 02*</v>
          </cell>
        </row>
        <row r="762">
          <cell r="A762" t="str">
            <v>17 09 03*</v>
          </cell>
        </row>
        <row r="763">
          <cell r="A763" t="str">
            <v>17 09 04</v>
          </cell>
        </row>
        <row r="764">
          <cell r="A764" t="str">
            <v>18 01 01</v>
          </cell>
        </row>
        <row r="765">
          <cell r="A765" t="str">
            <v>18 01 02*</v>
          </cell>
        </row>
        <row r="766">
          <cell r="A766" t="str">
            <v>18 01 03*</v>
          </cell>
        </row>
        <row r="767">
          <cell r="A767" t="str">
            <v>18 01 04</v>
          </cell>
        </row>
        <row r="768">
          <cell r="A768" t="str">
            <v>18 01 06*</v>
          </cell>
        </row>
        <row r="769">
          <cell r="A769" t="str">
            <v>18 01 07</v>
          </cell>
        </row>
        <row r="770">
          <cell r="A770" t="str">
            <v>18 01 08*</v>
          </cell>
        </row>
        <row r="771">
          <cell r="A771" t="str">
            <v>18 01 09</v>
          </cell>
        </row>
        <row r="772">
          <cell r="A772" t="str">
            <v>18 01 10*</v>
          </cell>
        </row>
        <row r="773">
          <cell r="A773" t="str">
            <v>18 01 80*</v>
          </cell>
        </row>
        <row r="774">
          <cell r="A774" t="str">
            <v>18 01 81</v>
          </cell>
        </row>
        <row r="775">
          <cell r="A775" t="str">
            <v>18 01 82*</v>
          </cell>
        </row>
        <row r="776">
          <cell r="A776" t="str">
            <v>18 02 01</v>
          </cell>
        </row>
        <row r="777">
          <cell r="A777" t="str">
            <v>18 02 02*</v>
          </cell>
        </row>
        <row r="778">
          <cell r="A778" t="str">
            <v>18 02 03</v>
          </cell>
        </row>
        <row r="779">
          <cell r="A779" t="str">
            <v>18 02 05*</v>
          </cell>
        </row>
        <row r="780">
          <cell r="A780" t="str">
            <v>18 02 06</v>
          </cell>
        </row>
        <row r="781">
          <cell r="A781" t="str">
            <v>18 02 07*</v>
          </cell>
        </row>
        <row r="782">
          <cell r="A782" t="str">
            <v>18 02 08</v>
          </cell>
        </row>
        <row r="783">
          <cell r="A783" t="str">
            <v>19 01 02</v>
          </cell>
        </row>
        <row r="784">
          <cell r="A784" t="str">
            <v>19 01 05*</v>
          </cell>
        </row>
        <row r="785">
          <cell r="A785" t="str">
            <v>19 01 06*</v>
          </cell>
        </row>
        <row r="786">
          <cell r="A786" t="str">
            <v>19 01 07*</v>
          </cell>
        </row>
        <row r="787">
          <cell r="A787" t="str">
            <v>19 01 10*</v>
          </cell>
        </row>
        <row r="788">
          <cell r="A788" t="str">
            <v>19 01 11*</v>
          </cell>
        </row>
        <row r="789">
          <cell r="A789" t="str">
            <v>19 01 12</v>
          </cell>
        </row>
        <row r="790">
          <cell r="A790" t="str">
            <v>19 01 13*</v>
          </cell>
        </row>
        <row r="791">
          <cell r="A791" t="str">
            <v>19 01 14</v>
          </cell>
        </row>
        <row r="792">
          <cell r="A792" t="str">
            <v>19 01 15*</v>
          </cell>
        </row>
        <row r="793">
          <cell r="A793" t="str">
            <v>19 01 16</v>
          </cell>
        </row>
        <row r="794">
          <cell r="A794" t="str">
            <v>19 01 17*</v>
          </cell>
        </row>
        <row r="795">
          <cell r="A795" t="str">
            <v>19 01 18</v>
          </cell>
        </row>
        <row r="796">
          <cell r="A796" t="str">
            <v>19 01 19</v>
          </cell>
        </row>
        <row r="797">
          <cell r="A797" t="str">
            <v>19 01 99</v>
          </cell>
        </row>
        <row r="798">
          <cell r="A798" t="str">
            <v>19 02 03</v>
          </cell>
        </row>
        <row r="799">
          <cell r="A799" t="str">
            <v>19 02 04*</v>
          </cell>
        </row>
        <row r="800">
          <cell r="A800" t="str">
            <v>19 02 05*</v>
          </cell>
        </row>
        <row r="801">
          <cell r="A801" t="str">
            <v>19 02 06</v>
          </cell>
        </row>
        <row r="802">
          <cell r="A802" t="str">
            <v>19 02 07*</v>
          </cell>
        </row>
        <row r="803">
          <cell r="A803" t="str">
            <v>19 02 08*</v>
          </cell>
        </row>
        <row r="804">
          <cell r="A804" t="str">
            <v>19 02 09*</v>
          </cell>
        </row>
        <row r="805">
          <cell r="A805" t="str">
            <v>19 02 10</v>
          </cell>
        </row>
        <row r="806">
          <cell r="A806" t="str">
            <v>19 02 11*</v>
          </cell>
        </row>
        <row r="807">
          <cell r="A807" t="str">
            <v>19 02 99</v>
          </cell>
        </row>
        <row r="808">
          <cell r="A808" t="str">
            <v>19 03 04*</v>
          </cell>
        </row>
        <row r="809">
          <cell r="A809" t="str">
            <v>19 03 05</v>
          </cell>
        </row>
        <row r="810">
          <cell r="A810" t="str">
            <v>19 03 06*</v>
          </cell>
        </row>
        <row r="811">
          <cell r="A811" t="str">
            <v>19 03 07</v>
          </cell>
        </row>
        <row r="812">
          <cell r="A812" t="str">
            <v>19 04 01</v>
          </cell>
        </row>
        <row r="813">
          <cell r="A813" t="str">
            <v>19 04 02*</v>
          </cell>
        </row>
        <row r="814">
          <cell r="A814" t="str">
            <v>19 04 03*</v>
          </cell>
        </row>
        <row r="815">
          <cell r="A815" t="str">
            <v>19 04 04</v>
          </cell>
        </row>
        <row r="816">
          <cell r="A816" t="str">
            <v>19 05 01</v>
          </cell>
        </row>
        <row r="817">
          <cell r="A817" t="str">
            <v>19 05 02</v>
          </cell>
        </row>
        <row r="818">
          <cell r="A818" t="str">
            <v>19 05 03</v>
          </cell>
        </row>
        <row r="819">
          <cell r="A819" t="str">
            <v>19 05 99</v>
          </cell>
        </row>
        <row r="820">
          <cell r="A820" t="str">
            <v>19 06 03</v>
          </cell>
        </row>
        <row r="821">
          <cell r="A821" t="str">
            <v>19 06 04</v>
          </cell>
        </row>
        <row r="822">
          <cell r="A822" t="str">
            <v>19 06 05</v>
          </cell>
        </row>
        <row r="823">
          <cell r="A823" t="str">
            <v>19 06 06</v>
          </cell>
        </row>
        <row r="824">
          <cell r="A824" t="str">
            <v>19 06 99</v>
          </cell>
        </row>
        <row r="825">
          <cell r="A825" t="str">
            <v>19 08 01</v>
          </cell>
        </row>
        <row r="826">
          <cell r="A826" t="str">
            <v>19 08 02</v>
          </cell>
        </row>
        <row r="827">
          <cell r="A827" t="str">
            <v>19 08 05</v>
          </cell>
        </row>
        <row r="828">
          <cell r="A828" t="str">
            <v>19 08 06*</v>
          </cell>
        </row>
        <row r="829">
          <cell r="A829" t="str">
            <v>19 08 07*</v>
          </cell>
        </row>
        <row r="830">
          <cell r="A830" t="str">
            <v>19 08 08*</v>
          </cell>
        </row>
        <row r="831">
          <cell r="A831" t="str">
            <v>19 08 09</v>
          </cell>
        </row>
        <row r="832">
          <cell r="A832" t="str">
            <v>19 08 10*</v>
          </cell>
        </row>
        <row r="833">
          <cell r="A833" t="str">
            <v>19 08 11*</v>
          </cell>
        </row>
        <row r="834">
          <cell r="A834" t="str">
            <v>19 08 12</v>
          </cell>
        </row>
        <row r="835">
          <cell r="A835" t="str">
            <v>19 08 13*</v>
          </cell>
        </row>
        <row r="836">
          <cell r="A836" t="str">
            <v>19 08 14</v>
          </cell>
        </row>
        <row r="837">
          <cell r="A837" t="str">
            <v>19 08 99</v>
          </cell>
        </row>
        <row r="838">
          <cell r="A838" t="str">
            <v>19 09 01</v>
          </cell>
        </row>
        <row r="839">
          <cell r="A839" t="str">
            <v>19 09 02</v>
          </cell>
        </row>
        <row r="840">
          <cell r="A840" t="str">
            <v>19 09 03</v>
          </cell>
        </row>
        <row r="841">
          <cell r="A841" t="str">
            <v>19 09 04</v>
          </cell>
        </row>
        <row r="842">
          <cell r="A842" t="str">
            <v>19 09 05</v>
          </cell>
        </row>
        <row r="843">
          <cell r="A843" t="str">
            <v>19 09 06</v>
          </cell>
        </row>
        <row r="844">
          <cell r="A844" t="str">
            <v>19 09 99</v>
          </cell>
        </row>
        <row r="845">
          <cell r="A845" t="str">
            <v>19 10 01</v>
          </cell>
        </row>
        <row r="846">
          <cell r="A846" t="str">
            <v>19 10 02</v>
          </cell>
        </row>
        <row r="847">
          <cell r="A847" t="str">
            <v>19 10 03*</v>
          </cell>
        </row>
        <row r="848">
          <cell r="A848" t="str">
            <v>19 10 04</v>
          </cell>
        </row>
        <row r="849">
          <cell r="A849" t="str">
            <v>19 10 05*</v>
          </cell>
        </row>
        <row r="850">
          <cell r="A850" t="str">
            <v>19 10 06</v>
          </cell>
        </row>
        <row r="851">
          <cell r="A851" t="str">
            <v>19 11 01*</v>
          </cell>
        </row>
        <row r="852">
          <cell r="A852" t="str">
            <v>19 11 02*</v>
          </cell>
        </row>
        <row r="853">
          <cell r="A853" t="str">
            <v>19 11 03*</v>
          </cell>
        </row>
        <row r="854">
          <cell r="A854" t="str">
            <v>19 11 04*</v>
          </cell>
        </row>
        <row r="855">
          <cell r="A855" t="str">
            <v>19 11 05*</v>
          </cell>
        </row>
        <row r="856">
          <cell r="A856" t="str">
            <v>19 11 06</v>
          </cell>
        </row>
        <row r="857">
          <cell r="A857" t="str">
            <v>19 11 07*</v>
          </cell>
        </row>
        <row r="858">
          <cell r="A858" t="str">
            <v>19 11 99</v>
          </cell>
        </row>
        <row r="859">
          <cell r="A859" t="str">
            <v>19 12 01</v>
          </cell>
        </row>
        <row r="860">
          <cell r="A860" t="str">
            <v>19 12 02</v>
          </cell>
        </row>
        <row r="861">
          <cell r="A861" t="str">
            <v>19 12 03</v>
          </cell>
        </row>
        <row r="862">
          <cell r="A862" t="str">
            <v>19 12 04</v>
          </cell>
        </row>
        <row r="863">
          <cell r="A863" t="str">
            <v>19 12 05</v>
          </cell>
        </row>
        <row r="864">
          <cell r="A864" t="str">
            <v>19 12 06*</v>
          </cell>
        </row>
        <row r="865">
          <cell r="A865" t="str">
            <v>19 12 07</v>
          </cell>
        </row>
        <row r="866">
          <cell r="A866" t="str">
            <v>19 12 08</v>
          </cell>
        </row>
        <row r="867">
          <cell r="A867" t="str">
            <v>19 12 09</v>
          </cell>
        </row>
        <row r="868">
          <cell r="A868" t="str">
            <v>19 12 10</v>
          </cell>
        </row>
        <row r="869">
          <cell r="A869" t="str">
            <v>19 12 11*</v>
          </cell>
        </row>
        <row r="870">
          <cell r="A870" t="str">
            <v>19 12 12</v>
          </cell>
        </row>
        <row r="871">
          <cell r="A871" t="str">
            <v>19 13 01*</v>
          </cell>
        </row>
        <row r="872">
          <cell r="A872" t="str">
            <v>19 13 02</v>
          </cell>
        </row>
        <row r="873">
          <cell r="A873" t="str">
            <v>19 13 03*</v>
          </cell>
        </row>
        <row r="874">
          <cell r="A874" t="str">
            <v>19 13 04</v>
          </cell>
        </row>
        <row r="875">
          <cell r="A875" t="str">
            <v>19 13 05*</v>
          </cell>
        </row>
        <row r="876">
          <cell r="A876" t="str">
            <v>19 13 06</v>
          </cell>
        </row>
        <row r="877">
          <cell r="A877" t="str">
            <v>19 13 07*</v>
          </cell>
        </row>
        <row r="878">
          <cell r="A878" t="str">
            <v>19 13 08</v>
          </cell>
        </row>
        <row r="879">
          <cell r="A879" t="str">
            <v>19 80 01</v>
          </cell>
        </row>
        <row r="880">
          <cell r="A880" t="str">
            <v>20 01 01</v>
          </cell>
        </row>
        <row r="881">
          <cell r="A881" t="str">
            <v>20 01 02</v>
          </cell>
        </row>
        <row r="882">
          <cell r="A882" t="str">
            <v>20 01 08</v>
          </cell>
        </row>
        <row r="883">
          <cell r="A883" t="str">
            <v>20 01 10</v>
          </cell>
        </row>
        <row r="884">
          <cell r="A884" t="str">
            <v>20 01 11</v>
          </cell>
        </row>
        <row r="885">
          <cell r="A885" t="str">
            <v>20 01 13*</v>
          </cell>
        </row>
        <row r="886">
          <cell r="A886" t="str">
            <v>20 01 14*</v>
          </cell>
        </row>
        <row r="887">
          <cell r="A887" t="str">
            <v>20 01 15*</v>
          </cell>
        </row>
        <row r="888">
          <cell r="A888" t="str">
            <v>20 01 17*</v>
          </cell>
        </row>
        <row r="889">
          <cell r="A889" t="str">
            <v>20 01 19*</v>
          </cell>
        </row>
        <row r="890">
          <cell r="A890" t="str">
            <v>20 01 21*</v>
          </cell>
        </row>
        <row r="891">
          <cell r="A891" t="str">
            <v>20 01 23*</v>
          </cell>
        </row>
        <row r="892">
          <cell r="A892" t="str">
            <v>20 01 25</v>
          </cell>
        </row>
        <row r="893">
          <cell r="A893" t="str">
            <v>20 01 26*</v>
          </cell>
        </row>
        <row r="894">
          <cell r="A894" t="str">
            <v>20 01 27*</v>
          </cell>
        </row>
        <row r="895">
          <cell r="A895" t="str">
            <v>20 01 28</v>
          </cell>
        </row>
        <row r="896">
          <cell r="A896" t="str">
            <v>20 01 29*</v>
          </cell>
        </row>
        <row r="897">
          <cell r="A897" t="str">
            <v>20 01 30</v>
          </cell>
        </row>
        <row r="898">
          <cell r="A898" t="str">
            <v>20 01 31*</v>
          </cell>
        </row>
        <row r="899">
          <cell r="A899" t="str">
            <v>20 01 32</v>
          </cell>
        </row>
        <row r="900">
          <cell r="A900" t="str">
            <v>20 01 33*</v>
          </cell>
        </row>
        <row r="901">
          <cell r="A901" t="str">
            <v>20 01 34</v>
          </cell>
        </row>
        <row r="902">
          <cell r="A902" t="str">
            <v>20 01 35*</v>
          </cell>
        </row>
        <row r="903">
          <cell r="A903" t="str">
            <v>20 01 36</v>
          </cell>
        </row>
        <row r="904">
          <cell r="A904" t="str">
            <v>20 01 37*</v>
          </cell>
        </row>
        <row r="905">
          <cell r="A905" t="str">
            <v>20 01 38</v>
          </cell>
        </row>
        <row r="906">
          <cell r="A906" t="str">
            <v>20 01 39</v>
          </cell>
        </row>
        <row r="907">
          <cell r="A907" t="str">
            <v>20 01 40</v>
          </cell>
        </row>
        <row r="908">
          <cell r="A908" t="str">
            <v>20 01 41</v>
          </cell>
        </row>
        <row r="909">
          <cell r="A909" t="str">
            <v>20 01 80</v>
          </cell>
        </row>
        <row r="910">
          <cell r="A910" t="str">
            <v>20 01 99</v>
          </cell>
        </row>
        <row r="911">
          <cell r="A911" t="str">
            <v>20 02 01</v>
          </cell>
        </row>
        <row r="912">
          <cell r="A912" t="str">
            <v>20 02 02</v>
          </cell>
        </row>
        <row r="913">
          <cell r="A913" t="str">
            <v>20 02 03</v>
          </cell>
        </row>
        <row r="914">
          <cell r="A914" t="str">
            <v>20 03 01</v>
          </cell>
        </row>
        <row r="915">
          <cell r="A915" t="str">
            <v>20 03 02</v>
          </cell>
        </row>
        <row r="916">
          <cell r="A916" t="str">
            <v>20 03 03</v>
          </cell>
        </row>
        <row r="917">
          <cell r="A917" t="str">
            <v>20 03 04</v>
          </cell>
        </row>
        <row r="918">
          <cell r="A918" t="str">
            <v>20 03 06</v>
          </cell>
        </row>
        <row r="919">
          <cell r="A919" t="str">
            <v>20 03 07</v>
          </cell>
        </row>
        <row r="920">
          <cell r="A920" t="str">
            <v>20 03 99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a przestawna 2016"/>
      <sheetName val="Podsumowanie"/>
      <sheetName val="2016"/>
      <sheetName val="2016-Polska"/>
      <sheetName val="2016-Starol"/>
      <sheetName val="2016-Wschód"/>
      <sheetName val="2016-Zachód"/>
      <sheetName val="2016-Separatory"/>
      <sheetName val="2016-Północ"/>
      <sheetName val="2015"/>
      <sheetName val="2014"/>
      <sheetName val="Segmentation"/>
      <sheetName val="Dane"/>
      <sheetName val="Do prezentacji"/>
      <sheetName val="PODSUMOWANIE_20%"/>
      <sheetName val="PODSUMOWANIE_30%"/>
      <sheetName val="PODSUMOWANIE_40%"/>
      <sheetName val="Listy_rozwijan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B2" t="str">
            <v>Wytwórca odpadów</v>
          </cell>
        </row>
        <row r="8">
          <cell r="D8" t="str">
            <v>Sector 3</v>
          </cell>
          <cell r="H8" t="str">
            <v>Sector 2</v>
          </cell>
          <cell r="K8" t="str">
            <v>Sector1</v>
          </cell>
        </row>
        <row r="9">
          <cell r="B9" t="str">
            <v>Industrial</v>
          </cell>
          <cell r="C9" t="str">
            <v>Oil and Gas</v>
          </cell>
          <cell r="G9" t="str">
            <v>Industrial</v>
          </cell>
          <cell r="K9" t="str">
            <v>Industrial</v>
          </cell>
        </row>
        <row r="10">
          <cell r="B10" t="str">
            <v>Industrial</v>
          </cell>
          <cell r="C10" t="str">
            <v>Oil and Gas</v>
          </cell>
          <cell r="G10" t="str">
            <v>Industrial</v>
          </cell>
          <cell r="K10" t="str">
            <v>Retail and service</v>
          </cell>
        </row>
        <row r="11">
          <cell r="B11" t="str">
            <v>Industrial</v>
          </cell>
          <cell r="C11" t="str">
            <v>Food and Beverage</v>
          </cell>
          <cell r="G11" t="str">
            <v>Industrial</v>
          </cell>
          <cell r="K11" t="str">
            <v>Municipal</v>
          </cell>
        </row>
        <row r="12">
          <cell r="B12" t="str">
            <v>Industrial</v>
          </cell>
          <cell r="C12" t="str">
            <v>Food and Beverage</v>
          </cell>
          <cell r="G12" t="str">
            <v>Industrial</v>
          </cell>
          <cell r="K12" t="str">
            <v>Agiculture</v>
          </cell>
        </row>
        <row r="13">
          <cell r="B13" t="str">
            <v>Industrial</v>
          </cell>
          <cell r="C13" t="str">
            <v>Food and Beverage</v>
          </cell>
          <cell r="G13" t="str">
            <v>Industrial</v>
          </cell>
        </row>
        <row r="14">
          <cell r="B14" t="str">
            <v>Industrial</v>
          </cell>
          <cell r="C14" t="str">
            <v>Food and Beverage</v>
          </cell>
          <cell r="G14" t="str">
            <v>Industrial</v>
          </cell>
        </row>
        <row r="15">
          <cell r="B15" t="str">
            <v>Industrial</v>
          </cell>
          <cell r="C15" t="str">
            <v>Food and Beverage</v>
          </cell>
          <cell r="G15" t="str">
            <v>Industrial</v>
          </cell>
        </row>
        <row r="16">
          <cell r="B16" t="str">
            <v>Industrial</v>
          </cell>
          <cell r="C16" t="str">
            <v>Food and Beverage</v>
          </cell>
          <cell r="G16" t="str">
            <v>Industrial</v>
          </cell>
        </row>
        <row r="17">
          <cell r="B17" t="str">
            <v>Industrial</v>
          </cell>
          <cell r="C17" t="str">
            <v>Chemicals and Pharmaceuticals</v>
          </cell>
          <cell r="G17" t="str">
            <v>Industrial</v>
          </cell>
        </row>
        <row r="18">
          <cell r="B18" t="str">
            <v>Industrial</v>
          </cell>
          <cell r="C18" t="str">
            <v>Chemicals and Pharmaceuticals</v>
          </cell>
          <cell r="G18" t="str">
            <v>Retail and service</v>
          </cell>
        </row>
        <row r="19">
          <cell r="B19" t="str">
            <v>Industrial</v>
          </cell>
          <cell r="C19" t="str">
            <v>Chemicals and Pharmaceuticals</v>
          </cell>
          <cell r="G19" t="str">
            <v>Retail and service</v>
          </cell>
        </row>
        <row r="20">
          <cell r="B20" t="str">
            <v>Industrial</v>
          </cell>
          <cell r="C20" t="str">
            <v>Chemicals and Pharmaceuticals</v>
          </cell>
          <cell r="G20" t="str">
            <v>Retail and service</v>
          </cell>
        </row>
        <row r="21">
          <cell r="B21" t="str">
            <v>Industrial</v>
          </cell>
          <cell r="C21" t="str">
            <v>Power and Environment</v>
          </cell>
          <cell r="G21" t="str">
            <v>Retail and service</v>
          </cell>
        </row>
        <row r="22">
          <cell r="B22" t="str">
            <v>Industrial</v>
          </cell>
          <cell r="C22" t="str">
            <v>Power and Environment</v>
          </cell>
          <cell r="G22" t="str">
            <v>Municipal</v>
          </cell>
        </row>
        <row r="23">
          <cell r="B23" t="str">
            <v>Industrial</v>
          </cell>
          <cell r="C23" t="str">
            <v>Power and Environment</v>
          </cell>
          <cell r="G23" t="str">
            <v>Agiculture</v>
          </cell>
        </row>
        <row r="24">
          <cell r="B24" t="str">
            <v>Industrial</v>
          </cell>
          <cell r="C24" t="str">
            <v>Power and Environment</v>
          </cell>
          <cell r="G24" t="str">
            <v>Agiculture</v>
          </cell>
        </row>
        <row r="25">
          <cell r="B25" t="str">
            <v>Industrial</v>
          </cell>
          <cell r="C25" t="str">
            <v>Pulp and Paper</v>
          </cell>
          <cell r="G25" t="str">
            <v>Agiculture</v>
          </cell>
        </row>
        <row r="26">
          <cell r="B26" t="str">
            <v>Industrial</v>
          </cell>
          <cell r="C26" t="str">
            <v>Pulp and Paper</v>
          </cell>
        </row>
        <row r="27">
          <cell r="B27" t="str">
            <v>Industrial</v>
          </cell>
          <cell r="C27" t="str">
            <v>Pulp and Paper</v>
          </cell>
        </row>
        <row r="28">
          <cell r="B28" t="str">
            <v>Industrial</v>
          </cell>
          <cell r="C28" t="str">
            <v>Pulp and Paper</v>
          </cell>
        </row>
        <row r="29">
          <cell r="B29" t="str">
            <v>Industrial</v>
          </cell>
          <cell r="C29" t="str">
            <v>Mining</v>
          </cell>
        </row>
        <row r="30">
          <cell r="B30" t="str">
            <v>Industrial</v>
          </cell>
          <cell r="C30" t="str">
            <v>Mining</v>
          </cell>
        </row>
        <row r="31">
          <cell r="B31" t="str">
            <v>Industrial</v>
          </cell>
          <cell r="C31" t="str">
            <v>Mining</v>
          </cell>
        </row>
        <row r="32">
          <cell r="B32" t="str">
            <v>Industrial</v>
          </cell>
          <cell r="C32" t="str">
            <v>Construction &amp; Material</v>
          </cell>
        </row>
        <row r="33">
          <cell r="B33" t="str">
            <v>Industrial</v>
          </cell>
          <cell r="C33" t="str">
            <v>Construction &amp; Material</v>
          </cell>
        </row>
        <row r="34">
          <cell r="B34" t="str">
            <v>Industrial</v>
          </cell>
          <cell r="C34" t="str">
            <v>Light engineering</v>
          </cell>
        </row>
        <row r="35">
          <cell r="B35" t="str">
            <v>Industrial</v>
          </cell>
          <cell r="C35" t="str">
            <v>Light engineering</v>
          </cell>
        </row>
        <row r="36">
          <cell r="B36" t="str">
            <v>Industrial</v>
          </cell>
          <cell r="C36" t="str">
            <v>Light engineering</v>
          </cell>
        </row>
        <row r="37">
          <cell r="B37" t="str">
            <v>Industrial</v>
          </cell>
          <cell r="C37" t="str">
            <v>Heavy engineering</v>
          </cell>
        </row>
        <row r="38">
          <cell r="B38" t="str">
            <v>Industrial</v>
          </cell>
          <cell r="C38" t="str">
            <v>Heavy engineering</v>
          </cell>
        </row>
        <row r="39">
          <cell r="B39" t="str">
            <v>Industrial</v>
          </cell>
          <cell r="C39" t="str">
            <v>Heavy engineering</v>
          </cell>
        </row>
        <row r="40">
          <cell r="B40" t="str">
            <v>Retail and service</v>
          </cell>
          <cell r="C40" t="str">
            <v>Healthcare</v>
          </cell>
        </row>
        <row r="41">
          <cell r="B41" t="str">
            <v>Retail and service</v>
          </cell>
          <cell r="C41" t="str">
            <v>Transportation and Storage</v>
          </cell>
        </row>
        <row r="42">
          <cell r="B42" t="str">
            <v>Retail and service</v>
          </cell>
          <cell r="C42" t="str">
            <v>Transportation and Storage</v>
          </cell>
        </row>
        <row r="43">
          <cell r="B43" t="str">
            <v>Retail and service</v>
          </cell>
          <cell r="C43" t="str">
            <v>Transportation and Storage</v>
          </cell>
        </row>
        <row r="44">
          <cell r="B44" t="str">
            <v>Retail and service</v>
          </cell>
          <cell r="C44" t="str">
            <v>Transportation and Storage</v>
          </cell>
        </row>
        <row r="45">
          <cell r="B45" t="str">
            <v>Retail and service</v>
          </cell>
          <cell r="C45" t="str">
            <v>Wholesale and retail trade</v>
          </cell>
        </row>
        <row r="46">
          <cell r="B46" t="str">
            <v>Retail and service</v>
          </cell>
          <cell r="C46" t="str">
            <v>Wholesale and retail trade</v>
          </cell>
        </row>
        <row r="47">
          <cell r="B47" t="str">
            <v>Retail and service</v>
          </cell>
          <cell r="C47" t="str">
            <v>Wholesale and retail trade</v>
          </cell>
        </row>
        <row r="48">
          <cell r="B48" t="str">
            <v>Retail and service</v>
          </cell>
          <cell r="C48" t="str">
            <v>Wholesale and retail trade</v>
          </cell>
        </row>
        <row r="49">
          <cell r="B49" t="str">
            <v>Retail and service</v>
          </cell>
          <cell r="C49" t="str">
            <v>Tertiary</v>
          </cell>
        </row>
        <row r="50">
          <cell r="B50" t="str">
            <v>Retail and service</v>
          </cell>
          <cell r="C50" t="str">
            <v>Tertiary</v>
          </cell>
        </row>
        <row r="51">
          <cell r="B51" t="str">
            <v>Retail and service</v>
          </cell>
          <cell r="C51" t="str">
            <v>Tertiary</v>
          </cell>
        </row>
        <row r="52">
          <cell r="B52" t="str">
            <v>Retail and service</v>
          </cell>
          <cell r="C52" t="str">
            <v>Tertiary</v>
          </cell>
        </row>
        <row r="53">
          <cell r="B53" t="str">
            <v>Retail and service</v>
          </cell>
          <cell r="C53" t="str">
            <v>Tertiary</v>
          </cell>
        </row>
        <row r="54">
          <cell r="B54" t="str">
            <v>Retail and service</v>
          </cell>
          <cell r="C54" t="str">
            <v>Tertiary</v>
          </cell>
        </row>
        <row r="55">
          <cell r="B55" t="str">
            <v>Municipal</v>
          </cell>
          <cell r="C55" t="str">
            <v>Municipal</v>
          </cell>
        </row>
        <row r="56">
          <cell r="B56" t="str">
            <v>Agiculture</v>
          </cell>
          <cell r="C56" t="str">
            <v>Agriculture</v>
          </cell>
        </row>
        <row r="57">
          <cell r="B57" t="str">
            <v>Agiculture</v>
          </cell>
          <cell r="C57" t="str">
            <v>Forestry</v>
          </cell>
        </row>
        <row r="58">
          <cell r="B58" t="str">
            <v>Agiculture</v>
          </cell>
          <cell r="C58" t="str">
            <v>Fishing</v>
          </cell>
        </row>
      </sheetData>
      <sheetData sheetId="13"/>
      <sheetData sheetId="14" refreshError="1"/>
      <sheetData sheetId="15" refreshError="1"/>
      <sheetData sheetId="16" refreshError="1"/>
      <sheetData sheetId="17" refreshError="1"/>
    </sheetDataSet>
  </externalBook>
</externalLink>
</file>

<file path=xl/queryTables/queryTable1.xml><?xml version="1.0" encoding="utf-8"?>
<queryTable xmlns="http://schemas.openxmlformats.org/spreadsheetml/2006/main" name="DaneZewnętrzne_1" refreshOnLoad="1" connectionId="2" autoFormatId="16" applyNumberFormats="0" applyBorderFormats="0" applyFontFormats="0" applyPatternFormats="0" applyAlignmentFormats="0" applyWidthHeightFormats="0">
  <queryTableRefresh nextId="17">
    <queryTableFields count="16">
      <queryTableField id="1" name="waluta" tableColumnId="1"/>
      <queryTableField id="2" name="kod" tableColumnId="2"/>
      <queryTableField id="3" name="liczba jednostek" tableColumnId="3"/>
      <queryTableField id="4" name="styczeń" tableColumnId="4"/>
      <queryTableField id="5" name="luty" tableColumnId="5"/>
      <queryTableField id="6" name="marzec" tableColumnId="6"/>
      <queryTableField id="7" name="kwiecień" tableColumnId="7"/>
      <queryTableField id="8" name="maj" tableColumnId="8"/>
      <queryTableField id="9" name="czerwiec" tableColumnId="9"/>
      <queryTableField id="10" name="lipiec" tableColumnId="10"/>
      <queryTableField id="11" name="sierpień" tableColumnId="11"/>
      <queryTableField id="12" name="wrzesień" tableColumnId="12"/>
      <queryTableField id="13" name="październik" tableColumnId="13"/>
      <queryTableField id="14" name="listopad" tableColumnId="14"/>
      <queryTableField id="15" name="grudzień" tableColumnId="15"/>
      <queryTableField id="16" name="Column1" tableColumnId="16"/>
    </queryTableFields>
  </queryTableRefresh>
</queryTable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Kalkulacja" displayName="Kalkulacja" ref="A9:DE18" totalsRowCount="1" headerRowDxfId="663" dataDxfId="661" totalsRowDxfId="660" headerRowBorderDxfId="662">
  <tableColumns count="109">
    <tableColumn id="59" name="Opcja" dataDxfId="659" totalsRowDxfId="658" dataCellStyle="Dziesiętny"/>
    <tableColumn id="1" name="L.p." dataDxfId="657" totalsRowDxfId="656">
      <calculatedColumnFormula>ROW()-9</calculatedColumnFormula>
    </tableColumn>
    <tableColumn id="2" name="Kod odpadu _x000a_*u Klienta" dataDxfId="655" totalsRowDxfId="654" dataCellStyle="Normalny 4"/>
    <tableColumn id="67" name="Kod odpadu *w ofercie SUEZ" dataDxfId="653" totalsRowDxfId="652" dataCellStyle="Normalny 4">
      <calculatedColumnFormula>Kalkulacja[[#This Row],[Kod odpadu 
*u Klienta]]</calculatedColumnFormula>
    </tableColumn>
    <tableColumn id="3" name="Nazwa katalogowa odpadu" dataDxfId="651" totalsRowDxfId="650">
      <calculatedColumnFormula>IFERROR(VLOOKUP(Kalkulacja[[#This Row],[Kod odpadu *w ofercie SUEZ]],Tabela7[[Kod odpadu]:[Rodzaj odpadu]],2,0),"")</calculatedColumnFormula>
    </tableColumn>
    <tableColumn id="4" name="Rodzaj odpadu / usługi / opis pochodzenia odpadu" dataDxfId="649" totalsRowDxfId="648"/>
    <tableColumn id="5" name="Jednostka miary" dataDxfId="647" totalsRowDxfId="646" dataCellStyle="Normalny 4"/>
    <tableColumn id="6" name="Szacunkowa ilość odpadu /rok" totalsRowFunction="sum" dataDxfId="645" totalsRowDxfId="644"/>
    <tableColumn id="7" name="Częstotliwość _x000a_odbiorów" dataDxfId="643" totalsRowDxfId="642"/>
    <tableColumn id="101" name="Break_point_ap" dataDxfId="641" totalsRowDxfId="640"/>
    <tableColumn id="8" name="Miasto" dataDxfId="639" totalsRowDxfId="638"/>
    <tableColumn id="71" name="Kod pocztowy" dataDxfId="637" totalsRowDxfId="636"/>
    <tableColumn id="9" name="Ulica" dataDxfId="635" totalsRowDxfId="634"/>
    <tableColumn id="68" name="Nazwa/Numer Obiektu" dataDxfId="633" totalsRowDxfId="632"/>
    <tableColumn id="102" name="Break_point_ak" dataDxfId="631" totalsRowDxfId="630"/>
    <tableColumn id="69" name="Adres Razem_x000a_" dataDxfId="629" totalsRowDxfId="628">
      <calculatedColumnFormula>Kalkulacja[[#This Row],[Miasto]]&amp;CHAR(10)&amp;Kalkulacja[[#This Row],[Kod pocztowy]]&amp;CHAR(10)&amp;Kalkulacja[[#This Row],[Ulica]]&amp;CHAR(10)&amp;Kalkulacja[[#This Row],[Nazwa/Numer Obiektu]]</calculatedColumnFormula>
    </tableColumn>
    <tableColumn id="103" name="Break_point_sgp" dataDxfId="627" totalsRowDxfId="626"/>
    <tableColumn id="62" name="Postać odpadu" dataDxfId="625" totalsRowDxfId="624"/>
    <tableColumn id="10" name="Rodzaj sprzętu (pojemniki i urządzenia) **sugerowany" dataDxfId="623" totalsRowDxfId="622"/>
    <tableColumn id="63" name="Rodzaj sprzętu w ofercie SUEZ (pojemniki i urządzenia)" dataDxfId="621" totalsRowDxfId="620">
      <calculatedColumnFormula>Kalkulacja[[#This Row],[Rodzaj sprzętu (pojemniki i urządzenia) **sugerowany]]</calculatedColumnFormula>
    </tableColumn>
    <tableColumn id="11" name="Ilość pojemników/ sprzętu w ofercie SUEZ dla Klienta" dataDxfId="619" totalsRowDxfId="618"/>
    <tableColumn id="12" name="Własność pojemników/ sprzętu w ofercie SUEZ dla Klienta" dataDxfId="617" totalsRowDxfId="616"/>
    <tableColumn id="53" name="Ilość pojemników/ sprzętu na wymianę" dataDxfId="615" totalsRowDxfId="614"/>
    <tableColumn id="54" name="Własność pojemników/ sprzętu na wymianę" dataDxfId="613" totalsRowDxfId="612"/>
    <tableColumn id="104" name="Break_point_sgk" dataDxfId="611" totalsRowDxfId="610"/>
    <tableColumn id="70" name="Pojemniki Razem_x000a_" dataDxfId="609" totalsRowDxfId="608">
      <calculatedColumnFormula>IF(Kalkulacja[[#This Row],[Postać odpadu]]&lt;&gt;"","Postać: " &amp;Kalkulacja[[#This Row],[Postać odpadu]]&amp;CHAR(10),"")&amp;IF(Kalkulacja[[#This Row],[Rodzaj sprzętu w ofercie SUEZ (pojemniki i urządzenia)]]&lt;&gt;"","Sprzęt: "&amp;Kalkulacja[[#This Row],[Rodzaj sprzętu w ofercie SUEZ (pojemniki i urządzenia)]]&amp;CHAR(10)&amp;"dla Klienta: "&amp;Kalkulacja[[#This Row],[Ilość pojemników/ sprzętu w ofercie SUEZ dla Klienta]]&amp;" własność:"&amp;Kalkulacja[[#This Row],[Własność pojemników/ sprzętu w ofercie SUEZ dla Klienta]] &amp;CHAR(10)&amp;"na wymianę: "&amp;Kalkulacja[[#This Row],[Ilość pojemników/ sprzętu na wymianę]],"") &amp; " własnośc:" &amp;Kalkulacja[[#This Row],[Własność pojemników/ sprzętu na wymianę]]</calculatedColumnFormula>
    </tableColumn>
    <tableColumn id="65" name="Break_point_1" dataDxfId="607" totalsRowDxfId="606" dataCellStyle="Normalny 4"/>
    <tableColumn id="55" name="Czy możliwa zmiana sposobu gromadzenia?" dataDxfId="605" totalsRowDxfId="604"/>
    <tableColumn id="15" name="Zakładana partia transportowa (Mg)" dataDxfId="603" totalsRowDxfId="602" dataCellStyle="Normalny 4"/>
    <tableColumn id="57" name="Czy możliwa zmiana partii transportowej?" dataDxfId="601" totalsRowDxfId="600" dataCellStyle="Normalny 4"/>
    <tableColumn id="14" name="Sugerowany transport" dataDxfId="599" totalsRowDxfId="598" dataCellStyle="Normalny 4"/>
    <tableColumn id="13" name="Sposób zagospodarowania obecny/ oczekiwany" dataDxfId="597" totalsRowDxfId="596" dataCellStyle="Normalny 4"/>
    <tableColumn id="16" name="Obecny operator" dataDxfId="595" totalsRowDxfId="594" dataCellStyle="Normalny 4"/>
    <tableColumn id="17" name="Próbki" dataDxfId="593" totalsRowDxfId="592" dataCellStyle="Normalny 4"/>
    <tableColumn id="18" name="Zdjęcia" dataDxfId="591" totalsRowDxfId="590" dataCellStyle="Normalny 4"/>
    <tableColumn id="19" name="Komentarz uzupełniający:_x000a_- oczekiwana przez klienta cena_x000a_- co ma zawierać cena_x000a_- pomysł na zejście odpadu_x000a_- inne" dataDxfId="589" totalsRowDxfId="588" dataCellStyle="Normalny 4"/>
    <tableColumn id="64" name="Break_point_2" dataDxfId="587" totalsRowDxfId="586" dataCellStyle="Normalny 4"/>
    <tableColumn id="20" name="Wyceniający (inicjały)" dataDxfId="585" totalsRowDxfId="584"/>
    <tableColumn id="56" name="SPÓŁKA" dataDxfId="583" totalsRowDxfId="582"/>
    <tableColumn id="21" name="Instalacja " dataDxfId="581" totalsRowDxfId="580"/>
    <tableColumn id="39" name="Termin płatności odbiorcy/ podwykonawcy (dni) INFORMACJA WEWNĘTRZNA SUEZ" dataDxfId="579" totalsRowDxfId="578"/>
    <tableColumn id="72" name="Proces zagospodarowania" dataDxfId="577" totalsRowDxfId="576"/>
    <tableColumn id="22" name="Komentarz uzupełniajacy INFORMACJA WEWNĘTRZNA SUEZ" dataDxfId="575" totalsRowDxfId="574"/>
    <tableColumn id="23" name="Uwagi logistyczne dla Klienta (np. sposób transportu, inne)" dataDxfId="573" totalsRowDxfId="572"/>
    <tableColumn id="58" name="Min partia transportowa" dataDxfId="571" totalsRowDxfId="570"/>
    <tableColumn id="24" name="Termin obowiązywania oferty" dataDxfId="569" totalsRowDxfId="568"/>
    <tableColumn id="25" name="Wymagania jakościowe" dataDxfId="567" totalsRowDxfId="566"/>
    <tableColumn id="26" name="Jednostka" dataDxfId="565" totalsRowDxfId="564"/>
    <tableColumn id="95" name="Break_point_5" dataDxfId="563" totalsRowDxfId="562" dataCellStyle="Dziesiętny"/>
    <tableColumn id="37" name="Wyrównianie do wskaźnika" dataDxfId="561" totalsRowDxfId="560"/>
    <tableColumn id="74" name="Przychód z odsprzedaży Spółki" dataDxfId="559" totalsRowDxfId="558" dataCellStyle="Dziesiętny">
      <calculatedColumnFormula>Kalkulacja[[#This Row],[Przychód z odsprzedaży]]/(1-$AY$4)</calculatedColumnFormula>
    </tableColumn>
    <tableColumn id="75" name="Koszt zagospodarowania/usługi Spółki" dataDxfId="557" totalsRowDxfId="556" dataCellStyle="Dziesiętny">
      <calculatedColumnFormula>Kalkulacja[[#This Row],[Koszt zagospodarowania/usługi]]*(1-$AY$4)</calculatedColumnFormula>
    </tableColumn>
    <tableColumn id="76" name="Transport (zł/kurs) _x000a_spółka" dataDxfId="555" totalsRowDxfId="554" dataCellStyle="Dziesiętny">
      <calculatedColumnFormula>Kalkulacja[[#This Row],[Transport (zł/kurs)]]*(1-$AZ$4)</calculatedColumnFormula>
    </tableColumn>
    <tableColumn id="77" name="Partia transportowa (Mg/kurs)_x000a_spółka" dataDxfId="553" totalsRowDxfId="552" dataCellStyle="Dziesiętny">
      <calculatedColumnFormula>Kalkulacja[[#This Row],[Partia transportowa (Mg/kurs)]]</calculatedColumnFormula>
    </tableColumn>
    <tableColumn id="78" name="Koszt transportu (zł/Mg)_x000a_spółka" dataDxfId="551" totalsRowDxfId="550" dataCellStyle="Dziesiętny">
      <calculatedColumnFormula>IFERROR(Kalkulacja[[#This Row],[Transport (zł/kurs) 
spółka]]/Kalkulacja[[#This Row],[Partia transportowa (Mg/kurs)
spółka]],0)</calculatedColumnFormula>
    </tableColumn>
    <tableColumn id="79" name="Transport (zł/kurs)_x000a_spółka" dataDxfId="549" totalsRowDxfId="548" dataCellStyle="Dziesiętny">
      <calculatedColumnFormula>Kalkulacja[[#This Row],[Transport  (zł/kurs)]]*(1-$AZ$4)</calculatedColumnFormula>
    </tableColumn>
    <tableColumn id="80" name="Partia transportowa (Mg/kurs) _x000a_spółka" dataDxfId="547" totalsRowDxfId="546" dataCellStyle="Dziesiętny">
      <calculatedColumnFormula>Kalkulacja[[#This Row],[Partia transportowa (Mg/kurs) ]]</calculatedColumnFormula>
    </tableColumn>
    <tableColumn id="81" name="Koszt transportu do instalacji (zł/Mg)_x000a_spółka" dataDxfId="545" totalsRowDxfId="544" dataCellStyle="Dziesiętny">
      <calculatedColumnFormula>IFERROR(Kalkulacja[[#This Row],[Transport (zł/kurs)
spółka]]/Kalkulacja[[#This Row],[Partia transportowa (Mg/kurs) 
spółka]],0)</calculatedColumnFormula>
    </tableColumn>
    <tableColumn id="82" name="Jednostka  " dataDxfId="543" totalsRowDxfId="542" dataCellStyle="Dziesiętny">
      <calculatedColumnFormula>Kalkulacja[[#This Row],[Jednostka]]</calculatedColumnFormula>
    </tableColumn>
    <tableColumn id="83" name="Suma kosztów Spółki_x000a_(odpady)" dataDxfId="541" totalsRowDxfId="540" dataCellStyle="Dziesiętny">
      <calculatedColumnFormula>Kalkulacja[[#This Row],[Przychód z odsprzedaży]]+Kalkulacja[[#This Row],[Koszt zagospodarowania/usługi Spółki]]</calculatedColumnFormula>
    </tableColumn>
    <tableColumn id="97" name="Suma kosztów Spółki_x000a_(transport)" dataDxfId="539" totalsRowDxfId="538" dataCellStyle="Dziesiętny">
      <calculatedColumnFormula>Kalkulacja[[#This Row],[Koszt transportu (zł/Mg)
spółka]]+Kalkulacja[[#This Row],[Koszt transportu do instalacji (zł/Mg)
spółka]]</calculatedColumnFormula>
    </tableColumn>
    <tableColumn id="84" name="Marża Spółki_x000a_(odpady)" dataDxfId="537" totalsRowDxfId="536" dataCellStyle="Dziesiętny">
      <calculatedColumnFormula>Kalkulacja[[#This Row],[Koszt zagospodarowania/usługi]]+Kalkulacja[[#This Row],[Przychód z odsprzedaży Spółki]]-Kalkulacja[[#This Row],[Suma kosztów Spółki
(odpady)]]</calculatedColumnFormula>
    </tableColumn>
    <tableColumn id="106" name="Marża Spółki_x000a_(transport)" dataDxfId="535" totalsRowDxfId="534" dataCellStyle="Dziesiętny">
      <calculatedColumnFormula>Kalkulacja[[#This Row],[Koszt transportu (zł/Mg)]]-Kalkulacja[[#This Row],[Koszt transportu (zł/Mg)
spółka]]+Kalkulacja[[#This Row],[Koszt transportu (zł/Mg) ]]-Kalkulacja[[#This Row],[Koszt transportu do instalacji (zł/Mg)
spółka]]</calculatedColumnFormula>
    </tableColumn>
    <tableColumn id="87" name="Break_point_6" dataDxfId="533" totalsRowDxfId="532" dataCellStyle="Dziesiętny"/>
    <tableColumn id="85" name="Wyrównanie do wskaźnika Spółka" dataDxfId="531" totalsRowDxfId="530" dataCellStyle="Dziesiętny"/>
    <tableColumn id="27" name="Przychód z odsprzedaży" dataDxfId="529" totalsRowDxfId="528" dataCellStyle="Dziesiętny"/>
    <tableColumn id="28" name="Koszt zagospodarowania/usługi" dataDxfId="527" totalsRowDxfId="526" dataCellStyle="Dziesiętny"/>
    <tableColumn id="110" name="Break_point_7" dataDxfId="525" totalsRowDxfId="524" dataCellStyle="Dziesiętny"/>
    <tableColumn id="88" name="Rentowność Spółki_x000a_(odpady)_x000a_(%)" totalsRowFunction="custom" dataDxfId="523" totalsRowDxfId="522" dataCellStyle="Procentowy">
      <calculatedColumnFormula>Kalkulacja[[#This Row],[Zysk Spółki
(odpady)
 (PLN/rok)]]/Kalkulacja[[#This Row],[Obrót Spółki 
(odpady)
 (PLN/rok)]]</calculatedColumnFormula>
      <totalsRowFormula>KSO_odpady!$BU$18/KSO_odpady!$BS$18</totalsRowFormula>
    </tableColumn>
    <tableColumn id="107" name="Rentowność Spółki_x000a_(transport)_x000a_(%)" totalsRowFunction="custom" dataDxfId="521" totalsRowDxfId="520" dataCellStyle="Procentowy">
      <calculatedColumnFormula>Kalkulacja[[#This Row],[Zysk Spółki
(transport)
 (PLN/rok)]]/Kalkulacja[[#This Row],[Obrót Spółki 
(transport)
 (PLN/rok)]]</calculatedColumnFormula>
      <totalsRowFormula>KSO_odpady!$BV$18/KSO_odpady!$BT$18</totalsRowFormula>
    </tableColumn>
    <tableColumn id="89" name="Obrót Spółki _x000a_(odpady)_x000a_ (PLN/rok)" totalsRowFunction="custom" dataDxfId="519" totalsRowDxfId="518" dataCellStyle="Dziesiętny">
      <calculatedColumnFormula>(Kalkulacja[[#This Row],[Koszt zagospodarowania/usługi]]+Kalkulacja[[#This Row],[Przychód z odsprzedaży Spółki]])*Kalkulacja[[#This Row],[Szacunkowa ilość odpadu dla Spółki
(Mg/rok)]]</calculatedColumnFormula>
      <totalsRowFormula>SUMIFS(KSO_odpady!$BS$10:$BS$17,KSO_odpady!$BZ$10:$BZ$17,$BZ$22)+SUMIFS(KSO_odpady!$BS$10:$BS$17,KSO_odpady!$BZ$10:$BZ$17,$BZ$23)</totalsRowFormula>
    </tableColumn>
    <tableColumn id="108" name="Obrót Spółki _x000a_(transport)_x000a_ (PLN/rok)" totalsRowFunction="custom" dataDxfId="517" totalsRowDxfId="516" dataCellStyle="Dziesiętny">
      <calculatedColumnFormula>(Kalkulacja[[#This Row],[Koszt transportu (zł/Mg)]]+Kalkulacja[[#This Row],[Koszt transportu (zł/Mg) ]])*Kalkulacja[[#This Row],[Szacunkowa ilość odpadu dla Spółki
(Mg/rok)]]</calculatedColumnFormula>
      <totalsRowFormula>SUMIFS(KSO_odpady!$BT$10:$BT$17,KSO_odpady!$BZ$10:$BZ$17,$BZ$22)+SUMIFS(KSO_odpady!$BT$10:$BT$17,KSO_odpady!$BZ$10:$BZ$17,$BZ$23)</totalsRowFormula>
    </tableColumn>
    <tableColumn id="90" name="Zysk Spółki_x000a_(odpady)_x000a_ (PLN/rok)" totalsRowFunction="custom" dataDxfId="515" totalsRowDxfId="514" dataCellStyle="Dziesiętny">
      <calculatedColumnFormula>Kalkulacja[[#This Row],[Marża Spółki
(odpady)]]*Kalkulacja[[#This Row],[Szacunkowa ilość odpadu dla Spółki
(Mg/rok)]]</calculatedColumnFormula>
      <totalsRowFormula>SUMIFS(KSO_odpady!$BU$10:$BU$17,KSO_odpady!$BZ$10:$BZ$17,$BZ$22)+SUMIFS(KSO_odpady!$BU$10:$BU$17,KSO_odpady!$BZ$10:$BZ$17,$BZ$23)</totalsRowFormula>
    </tableColumn>
    <tableColumn id="109" name="Zysk Spółki_x000a_(transport)_x000a_ (PLN/rok)" totalsRowFunction="custom" dataDxfId="513" totalsRowDxfId="512" dataCellStyle="Dziesiętny">
      <calculatedColumnFormula>Kalkulacja[[#This Row],[Marża Spółki
(transport)]]*Kalkulacja[[#This Row],[Szacunkowa ilość odpadu dla Spółki
(Mg/rok)]]</calculatedColumnFormula>
      <totalsRowFormula>SUMIFS(KSO_odpady!$BV$10:$BV$17,KSO_odpady!$BZ$10:$BZ$17,$BZ$22)+SUMIFS(KSO_odpady!$BV$10:$BV$17,KSO_odpady!$BZ$10:$BZ$17,$BZ$23)</totalsRowFormula>
    </tableColumn>
    <tableColumn id="91" name="Spółka płaci SUEZ Polska (PLN/rok)" totalsRowFunction="custom" dataDxfId="511" totalsRowDxfId="510" dataCellStyle="Dziesiętny">
      <calculatedColumnFormula>Kalkulacja[[#This Row],[Przychód z odsprzedaży]]*Kalkulacja[[#This Row],[Szacunkowa ilość odpadu dla Spółki
(Mg/rok)]]</calculatedColumnFormula>
      <totalsRowFormula>SUMIFS(KSO_odpady!$BW$10:$BW$17,KSO_odpady!$BZ$10:$BZ$17,$BZ$22)+SUMIFS(KSO_odpady!$BW$10:$BW$17,KSO_odpady!$BZ$10:$BZ$17,$BZ$23)</totalsRowFormula>
    </tableColumn>
    <tableColumn id="92" name="SUEZ Polska płaci Spółce (PLN/rok)" totalsRowFunction="custom" dataDxfId="509" totalsRowDxfId="508" dataCellStyle="Dziesiętny">
      <calculatedColumnFormula>Kalkulacja[[#This Row],[Obrót Spółki 
(transport)
 (PLN/rok)]]+Kalkulacja[[#This Row],[Koszt zagospodarowania/usługi]]*Kalkulacja[[#This Row],[Szacunkowa ilość odpadu dla Spółki
(Mg/rok)]]</calculatedColumnFormula>
      <totalsRowFormula>SUMIFS(KSO_odpady!$BX$10:$BX$17,KSO_odpady!$BZ$10:$BZ$17,$BZ$22)+SUMIFS(KSO_odpady!$BX$10:$BX$17,KSO_odpady!$BZ$10:$BZ$17,$BZ$23)</totalsRowFormula>
    </tableColumn>
    <tableColumn id="93" name="Szacunkowa ilość odpadu dla Spółki_x000a_(Mg/rok)" totalsRowFunction="custom" dataDxfId="507" totalsRowDxfId="506" dataCellStyle="Dziesiętny">
      <calculatedColumnFormula>Kalkulacja[[#This Row],[Szacunkowa ilość odpadu (Mg/rok)]]</calculatedColumnFormula>
      <totalsRowFormula>SUMIFS(KSO_odpady!$BY$10:$BY$17,KSO_odpady!$BZ$10:$BZ$17,$BZ$22)+SUMIFS(KSO_odpady!$BY$10:$BY$17,KSO_odpady!$BZ$10:$BZ$17,$BZ$23)</totalsRowFormula>
    </tableColumn>
    <tableColumn id="94" name="Rodzaj odpadu Spółki" dataDxfId="505" totalsRowDxfId="504" dataCellStyle="Dziesiętny">
      <calculatedColumnFormula>IF(Kalkulacja[[#This Row],[SPÓŁKA]]="TAK",IF(Kalkulacja[[#This Row],[Przychód z odsprzedaży]]&lt;&gt;0,$CZ$2,IF(Kalkulacja[[#This Row],[Koszt zagospodarowania/usługi]]&lt;&gt;0,$CZ$3,"")),"")</calculatedColumnFormula>
    </tableColumn>
    <tableColumn id="105" name="Break_point_dkp" dataDxfId="503" totalsRowDxfId="502" dataCellStyle="Dziesiętny"/>
    <tableColumn id="29" name="Transport (zł/kurs)" dataDxfId="501" totalsRowDxfId="500" dataCellStyle="Dziesiętny"/>
    <tableColumn id="30" name="Partia transportowa (Mg/kurs)" dataDxfId="499" totalsRowDxfId="498" dataCellStyle="Dziesiętny"/>
    <tableColumn id="31" name="Koszt transportu (zł/Mg)" dataDxfId="497" totalsRowDxfId="496" dataCellStyle="Dziesiętny">
      <calculatedColumnFormula>IFERROR(Kalkulacja[[#This Row],[Transport (zł/kurs)]]/Kalkulacja[[#This Row],[Partia transportowa (Mg/kurs)]],0)</calculatedColumnFormula>
    </tableColumn>
    <tableColumn id="32" name="Transport  (zł/kurs)" dataDxfId="495" totalsRowDxfId="494" dataCellStyle="Dziesiętny"/>
    <tableColumn id="33" name="Partia transportowa (Mg/kurs) " dataDxfId="493" totalsRowDxfId="492" dataCellStyle="Dziesiętny"/>
    <tableColumn id="34" name="Koszt transportu (zł/Mg) " dataDxfId="491" totalsRowDxfId="490" dataCellStyle="Dziesiętny">
      <calculatedColumnFormula>IFERROR(Kalkulacja[[#This Row],[Transport  (zł/kurs)]]/Kalkulacja[[#This Row],[Partia transportowa (Mg/kurs) ]],0)</calculatedColumnFormula>
    </tableColumn>
    <tableColumn id="35" name="Dzierżawa (zł/m-c)" dataDxfId="489" totalsRowDxfId="488" dataCellStyle="Dziesiętny"/>
    <tableColumn id="36" name="Dzierżawa (zł/Mg)" dataDxfId="487" totalsRowDxfId="486" dataCellStyle="Dziesiętny">
      <calculatedColumnFormula>IFERROR(Kalkulacja[[#This Row],[Dzierżawa (zł/m-c)]]*12/Kalkulacja[[#This Row],[Szacunkowa ilość odpadu /rok]],0)</calculatedColumnFormula>
    </tableColumn>
    <tableColumn id="40" name="Koszty dodatkowe (zł/Mg)" dataDxfId="485" totalsRowDxfId="484" dataCellStyle="Dziesiętny"/>
    <tableColumn id="60" name="Koszt sprzętu (zł/Mg)" dataDxfId="483" totalsRowDxfId="482" dataCellStyle="Dziesiętny">
      <calculatedColumnFormula>Obsluga_sprzet[[#Totals],[Koszt roczny w przeliczeniu na tonę (zł/Mg)]]</calculatedColumnFormula>
    </tableColumn>
    <tableColumn id="61" name="Koszt ludzi (zł/Mg)" dataDxfId="481" totalsRowDxfId="480" dataCellStyle="Dziesiętny">
      <calculatedColumnFormula>IFERROR(Obsluga_ludzie[[#Totals],[Koszt roczny w przeliczeniu na tonę (zł/Mg)]],0)</calculatedColumnFormula>
    </tableColumn>
    <tableColumn id="66" name="Break_point_dkk" dataDxfId="479" totalsRowDxfId="478" dataCellStyle="Dziesiętny"/>
    <tableColumn id="41" name="Jednostka " dataDxfId="477" totalsRowDxfId="476" dataCellStyle="Dziesiętny">
      <calculatedColumnFormula>Kalkulacja[[#This Row],[Jednostka]]</calculatedColumnFormula>
    </tableColumn>
    <tableColumn id="42" name="Suma kosztów" dataDxfId="475" totalsRowDxfId="474" dataCellStyle="Dziesiętny">
      <calculatedColumnFormula>Kalkulacja[[#This Row],[Koszt zagospodarowania/usługi]]+Kalkulacja[[#This Row],[Koszt transportu (zł/Mg)]]+Kalkulacja[[#This Row],[Koszt transportu (zł/Mg) ]]+Kalkulacja[[#This Row],[Dzierżawa (zł/Mg)]]+Kalkulacja[[#This Row],[Koszty dodatkowe (zł/Mg)]]+Kalkulacja[[#This Row],[Cena netto płaci SUEZ]]+Kalkulacja[[#This Row],[Koszt ludzi (zł/Mg)]]+Kalkulacja[[#This Row],[Koszt sprzętu (zł/Mg)]]</calculatedColumnFormula>
    </tableColumn>
    <tableColumn id="43" name="Marża" dataDxfId="473" totalsRowDxfId="472" dataCellStyle="Dziesiętny">
      <calculatedColumnFormula>Kalkulacja[[#This Row],[Cena netto dla Klienta]]+Kalkulacja[[#This Row],[Przychód z odsprzedaży]]-Kalkulacja[[#This Row],[Suma kosztów]]</calculatedColumnFormula>
    </tableColumn>
    <tableColumn id="38" name="Wyrównanie do wskaźnika dla Klienta" dataDxfId="471" totalsRowDxfId="470" dataCellStyle="Dziesiętny"/>
    <tableColumn id="44" name="Cena netto płaci SUEZ" dataDxfId="469" totalsRowDxfId="468" dataCellStyle="Dziesiętny">
      <calculatedColumnFormula>IF(IF(Kalkulacja[[#This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(zł/Mg)]]),CR$4)-CR$3)&lt;0,0,IF(Kalkulacja[[#This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(zł/Mg)]]),CR$4)-CR$3))</calculatedColumnFormula>
    </tableColumn>
    <tableColumn id="45" name="Cena netto dla Klienta" dataDxfId="467" totalsRowDxfId="466" dataCellStyle="Dziesiętny">
      <calculatedColumnFormula>IF(Kalkulacja[[#This Row],[Koszt zagospodarowania/usługi]]="",IF(Kalkulacja[[#This Row],[Cena netto płaci SUEZ]]=0,ROUNDUP(((Kalkulacja[[#This Row],[Koszt transportu (zł/Mg)]]+Kalkulacja[[#This Row],[Koszt transportu (zł/Mg) ]]+Kalkulacja[[#This Row],[Koszt sprzętu (zł/Mg)]]+Kalkulacja[[#This Row],[Dzierżawa (zł/Mg)]]+Kalkulacja[[#This Row],[Koszty dodatkowe (zł/Mg)]]+Kalkulacja[[#This Row],[Koszt ludzi (zł/Mg)]])-Kalkulacja[[#This Row],[Przychód z odsprzedaży]]*(1-$CR$5))/(1-$CR$5),$CR$4)-$CR$3,0),ROUNDUP(Kalkulacja[[#This Row],[Suma kosztów]]/(1-$CS$5),$CS$4)+$CS$3)</calculatedColumnFormula>
    </tableColumn>
    <tableColumn id="47" name="Rentowność (%)" totalsRowFunction="custom" dataDxfId="465" totalsRowDxfId="464" dataCellStyle="Procentowy">
      <calculatedColumnFormula>IFERROR(Kalkulacja[[#This Row],[Zysk (PLN/rok)]]/Kalkulacja[[#This Row],[Obrót (PLN/rok) ]],0)</calculatedColumnFormula>
      <totalsRowFormula>Kalkulacja[[#Totals],[Zysk (PLN/rok)]]/Kalkulacja[[#Totals],[Obrót (PLN/rok) ]]</totalsRowFormula>
    </tableColumn>
    <tableColumn id="48" name="Obrót (PLN/rok) " totalsRowFunction="custom" dataDxfId="463" totalsRowDxfId="462" dataCellStyle="Dziesiętny">
      <calculatedColumnFormula>(Kalkulacja[[#This Row],[Cena netto dla Klienta]]+Kalkulacja[[#This Row],[Przychód z odsprzedaży]])*Kalkulacja[[#This Row],[Szacunkowa ilość odpadu (Mg/rok)]]</calculatedColumnFormula>
      <totalsRowFormula>SUMIFS(Kalkulacja[Obrót (PLN/rok) ],Kalkulacja[Rodzaj odpadu],$CZ$22)+SUMIFS(Kalkulacja[Obrót (PLN/rok) ],Kalkulacja[Rodzaj odpadu],$CZ$23)</totalsRowFormula>
    </tableColumn>
    <tableColumn id="49" name="Zysk (PLN/rok)" totalsRowFunction="custom" dataDxfId="461" totalsRowDxfId="460" dataCellStyle="Dziesiętny">
      <calculatedColumnFormula>Kalkulacja[[#This Row],[Marża]]*Kalkulacja[[#This Row],[Szacunkowa ilość odpadu (Mg/rok)]]</calculatedColumnFormula>
      <totalsRowFormula>SUMIFS(Kalkulacja[Zysk (PLN/rok)],Kalkulacja[Rodzaj odpadu],$CZ$22)+SUMIFS(Kalkulacja[Zysk (PLN/rok)],Kalkulacja[Rodzaj odpadu],$CZ$23)</totalsRowFormula>
    </tableColumn>
    <tableColumn id="50" name="SUEZ płaci Klientowi (PLN/rok)" totalsRowFunction="custom" dataDxfId="459" totalsRowDxfId="458" dataCellStyle="Dziesiętny">
      <calculatedColumnFormula>IF(Kalkulacja[[#This Row],[Cena netto płaci SUEZ]]*Kalkulacja[[#This Row],[Szacunkowa ilość odpadu (Mg/rok)]]=0,0,Kalkulacja[[#This Row],[Cena netto płaci SUEZ]]*Kalkulacja[[#This Row],[Szacunkowa ilość odpadu (Mg/rok)]])</calculatedColumnFormula>
      <totalsRowFormula>SUMIFS(Kalkulacja[SUEZ płaci Klientowi (PLN/rok)],Kalkulacja[Rodzaj odpadu],$CZ$22)+SUMIFS(Kalkulacja[SUEZ płaci Klientowi (PLN/rok)],Kalkulacja[Rodzaj odpadu],$CZ$23)</totalsRowFormula>
    </tableColumn>
    <tableColumn id="51" name="Klient płaci SUEZ (PLN/rok)" totalsRowFunction="custom" dataDxfId="457" totalsRowDxfId="456" dataCellStyle="Dziesiętny">
      <calculatedColumnFormula>IF(Kalkulacja[[#This Row],[Cena netto dla Klienta]]*Kalkulacja[[#This Row],[Szacunkowa ilość odpadu (Mg/rok)]] = 0,0,Kalkulacja[[#This Row],[Cena netto dla Klienta]]*Kalkulacja[[#This Row],[Szacunkowa ilość odpadu (Mg/rok)]])</calculatedColumnFormula>
      <totalsRowFormula>SUMIFS(Kalkulacja[Klient płaci SUEZ (PLN/rok)],Kalkulacja[Rodzaj odpadu],$CZ$22)+SUMIFS(Kalkulacja[Klient płaci SUEZ (PLN/rok)],Kalkulacja[Rodzaj odpadu],$CZ$23)</totalsRowFormula>
    </tableColumn>
    <tableColumn id="46" name="Szacunkowa ilość odpadu (Mg/rok)" totalsRowFunction="custom" dataDxfId="455" totalsRowDxfId="454" dataCellStyle="Dziesiętny">
      <calculatedColumnFormula>Kalkulacja[[#This Row],[Szacunkowa ilość odpadu /rok]]</calculatedColumnFormula>
      <totalsRowFormula>SUMIFS(Kalkulacja[Szacunkowa ilość odpadu (Mg/rok)],Kalkulacja[Rodzaj odpadu],$CZ$22)+SUMIFS(Kalkulacja[Szacunkowa ilość odpadu (Mg/rok)],Kalkulacja[Rodzaj odpadu],$CZ$23)</totalsRowFormula>
    </tableColumn>
    <tableColumn id="52" name="Rodzaj odpadu" dataDxfId="453" totalsRowDxfId="452" dataCellStyle="Dziesiętny">
      <calculatedColumnFormula>IF(Kalkulacja[[#This Row],[Cena netto płaci SUEZ]]&lt;&gt;0,$CZ$2,IF(Kalkulacja[[#This Row],[Cena netto dla Klienta]]&lt;&gt;0,$CZ$3,""))</calculatedColumnFormula>
    </tableColumn>
    <tableColumn id="73" name="Break_point_4" dataDxfId="451" totalsRowDxfId="450" dataCellStyle="Dziesiętny"/>
    <tableColumn id="96" name="Rentowność SUEZ Razem (%)" dataDxfId="449" totalsRowDxfId="448" dataCellStyle="Dziesiętny">
      <calculatedColumnFormula>Kalkulacja[[#This Row],[Zysk SUEZ Razem '[PLN/rok']]]/Kalkulacja[[#This Row],[Obrót max (PLN/rok)]]</calculatedColumnFormula>
    </tableColumn>
    <tableColumn id="98" name="Zysk SUEZ Razem [PLN/rok]" dataDxfId="447" totalsRowDxfId="446" dataCellStyle="Dziesiętny">
      <calculatedColumnFormula>Kalkulacja[[#This Row],[Zysk Spółki
(odpady)
 (PLN/rok)]]+Kalkulacja[[#This Row],[Zysk (PLN/rok)]]+Kalkulacja[[#This Row],[Zysk Spółki
(transport)
 (PLN/rok)]]</calculatedColumnFormula>
    </tableColumn>
    <tableColumn id="99" name="Obrót max (PLN/rok)" dataDxfId="445" totalsRowDxfId="444" dataCellStyle="Dziesiętny">
      <calculatedColumnFormula>IF(Kalkulacja[[#This Row],[SPÓŁKA]]="TAK",MAX(Kalkulacja[[#This Row],[Obrót (PLN/rok) ]],(Kalkulacja[[#This Row],[Obrót Spółki 
(odpady)
 (PLN/rok)]]+Kalkulacja[[#This Row],[Obrót Spółki 
(transport)
 (PLN/rok)]]),Kalkulacja[[#This Row],[Obrót (PLN/rok) ]]),Kalkulacja[[#This Row],[Obrót (PLN/rok) ]])</calculatedColumnFormula>
    </tableColumn>
    <tableColumn id="86" name="Break_point_8" dataDxfId="443" totalsRowDxfId="442" dataCellStyle="Dziesiętny"/>
  </tableColumns>
  <tableStyleInfo name="Styl SUEZ" showFirstColumn="1" showLastColumn="0" showRowStripes="1" showColumnStripes="0"/>
</table>
</file>

<file path=xl/tables/table2.xml><?xml version="1.0" encoding="utf-8"?>
<table xmlns="http://schemas.openxmlformats.org/spreadsheetml/2006/main" id="2" name="Podsumowanie" displayName="Podsumowanie" ref="CT21:CZ24" totalsRowCount="1" headerRowDxfId="441" dataDxfId="439" totalsRowDxfId="438" headerRowBorderDxfId="440">
  <tableColumns count="7">
    <tableColumn id="2" name="Rentowność _x000a_[%]" totalsRowFunction="custom" dataDxfId="437" totalsRowDxfId="436" dataCellStyle="Procentowy">
      <calculatedColumnFormula>IFERROR(Podsumowanie[[#This Row],[Zysk '[PLN/rok']]]/Podsumowanie[[#This Row],[Obrót '[PLN/rok'] ]],0)</calculatedColumnFormula>
      <totalsRowFormula>Podsumowanie[[#Totals],[Zysk '[PLN/rok']]]/Podsumowanie[[#Totals],[Obrót '[PLN/rok'] ]]</totalsRowFormula>
    </tableColumn>
    <tableColumn id="3" name="Obrót [PLN/rok] " totalsRowFunction="sum" dataDxfId="435" totalsRowDxfId="434" dataCellStyle="Dziesiętny">
      <calculatedColumnFormula>SUMIFS(Kalkulacja[Obrót (PLN/rok) ],Kalkulacja[Rodzaj odpadu],Podsumowanie[[#This Row],[Podsumowanie]])</calculatedColumnFormula>
    </tableColumn>
    <tableColumn id="4" name="Zysk [PLN/rok]" totalsRowFunction="sum" dataDxfId="433" totalsRowDxfId="432" dataCellStyle="Dziesiętny">
      <calculatedColumnFormula>SUMIFS(Kalkulacja[Zysk (PLN/rok)],Kalkulacja[Rodzaj odpadu],Podsumowanie[[#This Row],[Podsumowanie]])</calculatedColumnFormula>
    </tableColumn>
    <tableColumn id="5" name="SUEZ płaci Klientowi [PLN/rok]" totalsRowFunction="sum" dataDxfId="431" totalsRowDxfId="430" dataCellStyle="Dziesiętny">
      <calculatedColumnFormula>SUMIFS(Kalkulacja[SUEZ płaci Klientowi (PLN/rok)],Kalkulacja[Rodzaj odpadu],Podsumowanie[[#This Row],[Podsumowanie]])</calculatedColumnFormula>
    </tableColumn>
    <tableColumn id="6" name="Klient płaci SUEZ [PLN/rok]" totalsRowFunction="sum" dataDxfId="429" totalsRowDxfId="428" dataCellStyle="Dziesiętny">
      <calculatedColumnFormula>SUMIFS(Kalkulacja[Klient płaci SUEZ (PLN/rok)],Kalkulacja[Rodzaj odpadu],Podsumowanie[[#This Row],[Podsumowanie]])</calculatedColumnFormula>
    </tableColumn>
    <tableColumn id="1" name="Ilość odpadów _x000a_[Mg/rok]" totalsRowFunction="sum" dataDxfId="427" totalsRowDxfId="426" dataCellStyle="Dziesiętny">
      <calculatedColumnFormula>SUMIFS(Kalkulacja[Szacunkowa ilość odpadu (Mg/rok)],Kalkulacja[Rodzaj odpadu],Podsumowanie[[#This Row],[Podsumowanie]])</calculatedColumnFormula>
    </tableColumn>
    <tableColumn id="7" name="Podsumowanie" totalsRowLabel="  Odpady Razem   " dataDxfId="425" totalsRowDxfId="424" dataCellStyle="Dziesiętny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6" name="Tabela16" displayName="Tabela16" ref="CQ2:CS5" totalsRowShown="0" headerRowBorderDxfId="423" tableBorderDxfId="422" totalsRowBorderDxfId="421">
  <tableColumns count="3">
    <tableColumn id="1" name="Opis" dataDxfId="420" dataCellStyle="Dziesiętny"/>
    <tableColumn id="2" name="Surowce" dataDxfId="419" dataCellStyle="Dziesiętny"/>
    <tableColumn id="5" name="Odpady Przemysłowe" dataDxfId="41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17" name="Nazwy" displayName="Nazwy" ref="CZ1:CZ5" totalsRowShown="0" headerRowDxfId="417" dataDxfId="415" headerRowBorderDxfId="416" tableBorderDxfId="414" dataCellStyle="Dziesiętny">
  <tableColumns count="1">
    <tableColumn id="1" name="Nazewnictwo" dataDxfId="413" dataCellStyle="Dziesiętny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0" name="Tabela10" displayName="Tabela10" ref="CU2:CU3" totalsRowShown="0" headerRowDxfId="412" dataDxfId="410" headerRowBorderDxfId="411" tableBorderDxfId="409" totalsRowBorderDxfId="408" dataCellStyle="Dziesiętny">
  <tableColumns count="1">
    <tableColumn id="1" name="Wyróżnij obrót powyżej:" dataDxfId="407" dataCellStyle="Dziesiętny">
      <calculatedColumnFormula>Kalkulacja[[#Totals],[Obrót (PLN/rok) ]]*30%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23" name="Podsumowanie24" displayName="Podsumowanie24" ref="CT27:CZ30" totalsRowCount="1" headerRowDxfId="406" dataDxfId="404" totalsRowDxfId="403" headerRowBorderDxfId="405">
  <tableColumns count="7">
    <tableColumn id="2" name="Rentowność _x000a_[%]" totalsRowFunction="custom" dataDxfId="402" totalsRowDxfId="401" dataCellStyle="Procentowy">
      <calculatedColumnFormula>Podsumowanie24[[#This Row],[Zysk '[PLN/rok']]]/Podsumowanie24[[#This Row],[Obrót '[PLN/rok'] ]]</calculatedColumnFormula>
      <totalsRowFormula>Podsumowanie24[[#Totals],[Zysk '[PLN/rok']]]/Podsumowanie24[[#Totals],[Obrót '[PLN/rok'] ]]</totalsRowFormula>
    </tableColumn>
    <tableColumn id="3" name="Obrót [PLN/rok] " totalsRowFunction="sum" dataDxfId="400" totalsRowDxfId="399" dataCellStyle="Dziesiętny">
      <calculatedColumnFormula>SUMIFS(Kalkulacja[Obrót max (PLN/rok)],Kalkulacja[Rodzaj odpadu],Podsumowanie24[[#This Row],[Podsumowanie]])</calculatedColumnFormula>
    </tableColumn>
    <tableColumn id="4" name="Zysk [PLN/rok]" totalsRowFunction="sum" dataDxfId="398" totalsRowDxfId="397" dataCellStyle="Dziesiętny">
      <calculatedColumnFormula>CV22+BV22</calculatedColumnFormula>
    </tableColumn>
    <tableColumn id="5" name="SUEZ płaci Klientowi [PLN/rok]" totalsRowFunction="sum" dataDxfId="396" totalsRowDxfId="395" dataCellStyle="Dziesiętny">
      <calculatedColumnFormula>CW22</calculatedColumnFormula>
    </tableColumn>
    <tableColumn id="6" name="Klient płaci SUEZ [PLN/rok]" totalsRowFunction="sum" dataDxfId="394" totalsRowDxfId="393" dataCellStyle="Dziesiętny">
      <calculatedColumnFormula>CX22</calculatedColumnFormula>
    </tableColumn>
    <tableColumn id="1" name="Ilość odpadów _x000a_[Mg/rok]" totalsRowFunction="sum" dataDxfId="392" totalsRowDxfId="391" dataCellStyle="Dziesiętny">
      <calculatedColumnFormula>CY22</calculatedColumnFormula>
    </tableColumn>
    <tableColumn id="7" name="Podsumowanie" totalsRowLabel="  Odpady Razem   " dataDxfId="390" totalsRowDxfId="389" dataCellStyle="Dziesiętny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13" name="Tabela13" displayName="Tabela13" ref="BT21:BZ24" totalsRowShown="0" headerRowDxfId="388" tableBorderDxfId="387">
  <tableColumns count="7">
    <tableColumn id="1" name="Rentowność _x000a_[%]"/>
    <tableColumn id="2" name="Obrót [PLN/rok] "/>
    <tableColumn id="3" name="Zysk [PLN/rok]"/>
    <tableColumn id="4" name="SUEZ płaci Klientowi [PLN/rok]"/>
    <tableColumn id="5" name="Klient płaci SUEZ [PLN/rok]"/>
    <tableColumn id="6" name="Ilość odpadów _x000a_[Mg/rok]"/>
    <tableColumn id="7" name="Podsumowanie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4" name="Obsluga_sprzet" displayName="Obsluga_sprzet" ref="A4:W17" totalsRowCount="1" headerRowDxfId="381" dataDxfId="379" totalsRowDxfId="377" headerRowBorderDxfId="380" tableBorderDxfId="378" headerRowCellStyle="Normalny 2" dataCellStyle="Dziesiętny">
  <sortState ref="A5:W16">
    <sortCondition ref="C4:C16"/>
  </sortState>
  <tableColumns count="23">
    <tableColumn id="1" name="Lp." dataDxfId="376" totalsRowDxfId="375">
      <calculatedColumnFormula>ROW()-4</calculatedColumnFormula>
    </tableColumn>
    <tableColumn id="11" name="Koszt w przeliczeniu na:" dataDxfId="374" totalsRowDxfId="373" dataCellStyle="Dziesiętny"/>
    <tableColumn id="2" name="Rodzaj naliczania" dataDxfId="372" totalsRowDxfId="371"/>
    <tableColumn id="3" name="Rodzaj sprzętu" dataDxfId="370" totalsRowDxfId="369" dataCellStyle="Normalny_PMPL Koszty sprzęt+pracownicy 2007-07-25"/>
    <tableColumn id="7" name="Szczegóły dot. sprzętu ( np. pojemność, nr seryjne) " dataDxfId="368" totalsRowDxfId="367" dataCellStyle="Normalny_PMPL Koszty sprzęt+pracownicy 2007-07-25"/>
    <tableColumn id="4" name="Ilość sztuk" dataDxfId="366" totalsRowDxfId="365" dataCellStyle="Dziesiętny"/>
    <tableColumn id="5" name="Cena jednostkowa" dataDxfId="364" totalsRowDxfId="363" dataCellStyle="Dziesiętny"/>
    <tableColumn id="6" name="Jednostka" dataDxfId="362" totalsRowDxfId="361" dataCellStyle="Dziesiętny"/>
    <tableColumn id="14" name="Koszt transportu pojemników/urządzeń_x000a_(zł/usługa/całość)" dataDxfId="360" totalsRowDxfId="359" dataCellStyle="Dziesiętny"/>
    <tableColumn id="20" name="Koszt serwisu (zł/szt)" dataDxfId="358" totalsRowDxfId="357" dataCellStyle="Dziesiętny"/>
    <tableColumn id="8" name="Koszty dodatkowe Inne" dataDxfId="356" totalsRowDxfId="355" dataCellStyle="Dziesiętny"/>
    <tableColumn id="22" name="Jednostka ( koszt dodatkowy)" dataDxfId="354" totalsRowDxfId="353" dataCellStyle="Dziesiętny"/>
    <tableColumn id="24" name="Opis kosztu dodatkowego" dataDxfId="352" totalsRowDxfId="351" dataCellStyle="Dziesiętny"/>
    <tableColumn id="9" name="Koszt miesięczny CAŁKOWITY (zł/msc)" totalsRowFunction="sum" dataDxfId="350" totalsRowDxfId="349" dataCellStyle="Dziesiętny"/>
    <tableColumn id="10" name="Koszt roczny CAŁKOWITY_x000a_(zł/rok)" totalsRowFunction="sum" dataDxfId="348" totalsRowDxfId="347" dataCellStyle="Dziesiętny"/>
    <tableColumn id="12" name="Czas wynajmu/ Okres amortyzacji (lata)" dataDxfId="346" totalsRowDxfId="345" dataCellStyle="Dziesiętny"/>
    <tableColumn id="21" name="Termin obowiązywania oferty" dataDxfId="344" totalsRowDxfId="343" dataCellStyle="Dziesiętny"/>
    <tableColumn id="13" name="Całkowita wartość środków trwałych CAPEX _x000a_netto (zł)" totalsRowFunction="sum" dataDxfId="342" totalsRowDxfId="341" dataCellStyle="Dziesiętny"/>
    <tableColumn id="15" name="Wartość amortyzacji na rok (zł)" totalsRowLabel=" CAPEX " dataDxfId="340" totalsRowDxfId="339" dataCellStyle="Dziesiętny"/>
    <tableColumn id="16" name="Ilość cykli zakupu na kontrakt" dataDxfId="338" totalsRowDxfId="337" dataCellStyle="Dziesiętny"/>
    <tableColumn id="17" name="Wartość amortyzacji na kontrakt (zł)" totalsRowFunction="sum" dataDxfId="336" totalsRowDxfId="335" dataCellStyle="Dziesiętny"/>
    <tableColumn id="19" name="Koszt roczny w przeliczeniu na tonę (zł/Mg)" totalsRowFunction="sum" dataDxfId="334" totalsRowDxfId="333" dataCellStyle="Dziesiętny">
      <calculatedColumnFormula>IF(Obsluga_sprzet[[#This Row],[Koszt w przeliczeniu na:]]="Całkowita masa odpadów",Obsluga_sprzet[[#This Row],[Koszt roczny CAŁKOWITY
(zł/rok)]]/Kalkulacja[[#Totals],[Szacunkowa ilość odpadu /rok]],IF(Obsluga_sprzet[[#This Row],[Koszt w przeliczeniu na:]]="Ryczałt dla Klienta","Ryczałt","INNE"))</calculatedColumnFormula>
    </tableColumn>
    <tableColumn id="18" name="Komentarz, uwagi" dataDxfId="332" totalsRowDxfId="331" dataCellStyle="Dziesiętny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5" name="Podsumowanie_S" displayName="Podsumowanie_S" ref="A20:J24" totalsRowCount="1" headerRowDxfId="330" dataDxfId="328" totalsRowDxfId="327" headerRowBorderDxfId="329" headerRowCellStyle="Normalny 2">
  <tableColumns count="10">
    <tableColumn id="10" name="Lp." dataDxfId="326" totalsRowDxfId="325"/>
    <tableColumn id="1" name="Podsumowanie" totalsRowLabel="Suma:" dataDxfId="324" totalsRowDxfId="323"/>
    <tableColumn id="2" name="Suma kosztów_x000a_[zł/m-c]" totalsRowFunction="sum" dataDxfId="322" totalsRowDxfId="321" dataCellStyle="Dziesiętny"/>
    <tableColumn id="3" name="Narzut_x000a_[%]" totalsRowFunction="custom" dataDxfId="320" totalsRowDxfId="319" dataCellStyle="Procentowy">
      <totalsRowFormula>Podsumowanie_S[[#Totals],[Zysk 
'[zł/m-c']]]/Podsumowanie_S[[#Totals],[Obrót 
'[zł/m-c']]]</totalsRowFormula>
    </tableColumn>
    <tableColumn id="4" name="Obrót _x000a_[zł/m-c]" totalsRowFunction="sum" dataDxfId="318" totalsRowDxfId="317" dataCellStyle="Dziesiętny">
      <calculatedColumnFormula>Podsumowanie_S[[#This Row],[Suma kosztów
'[zł/m-c']]]*(1+Podsumowanie_S[[#This Row],[Narzut
'[%']]])</calculatedColumnFormula>
    </tableColumn>
    <tableColumn id="5" name="Zysk _x000a_[zł/m-c]" totalsRowFunction="sum" dataDxfId="316" totalsRowDxfId="315" dataCellStyle="Dziesiętny">
      <calculatedColumnFormula>Podsumowanie_S[[#This Row],[Obrót 
'[zł/m-c']]]-Podsumowanie_S[[#This Row],[Suma kosztów
'[zł/m-c']]]</calculatedColumnFormula>
    </tableColumn>
    <tableColumn id="6" name="Suma kosztów_x000a_[zł/rok]" totalsRowFunction="sum" dataDxfId="314" totalsRowDxfId="313" dataCellStyle="Dziesiętny">
      <calculatedColumnFormula>Podsumowanie_S[[#This Row],[Suma kosztów
'[zł/m-c']]]*12</calculatedColumnFormula>
    </tableColumn>
    <tableColumn id="7" name="Rentowność _x000a_[%]" totalsRowFunction="custom" dataDxfId="312" totalsRowDxfId="311" dataCellStyle="Normalny 3 2">
      <calculatedColumnFormula>IFERROR(Podsumowanie_S[[#This Row],[Zysk
 '[zł/rok']]]/Podsumowanie_S[[#This Row],[Obrót 
'[zł/rok']]],"")</calculatedColumnFormula>
      <totalsRowFormula>Podsumowanie_S[[#Totals],[Zysk
 '[zł/rok']]]/Podsumowanie_S[[#Totals],[Obrót 
'[zł/rok']]]</totalsRowFormula>
    </tableColumn>
    <tableColumn id="8" name="Obrót _x000a_[zł/rok]" totalsRowFunction="sum" dataDxfId="310" totalsRowDxfId="309" dataCellStyle="Dziesiętny">
      <calculatedColumnFormula>Podsumowanie_S[[#This Row],[Obrót 
'[zł/m-c']]]*12</calculatedColumnFormula>
    </tableColumn>
    <tableColumn id="9" name="Zysk_x000a_ [zł/rok]" totalsRowFunction="sum" dataDxfId="308" totalsRowDxfId="307" dataCellStyle="Dziesiętny">
      <calculatedColumnFormula>Podsumowanie_S[[#This Row],[Zysk 
'[zł/m-c']]]*12</calculatedColumnFormula>
    </tableColumn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id="14" name="Ryczałty_T" displayName="Ryczałty_T" ref="A29:E31" insertRow="1" totalsRowCount="1" headerRowDxfId="306" dataDxfId="304" totalsRowDxfId="302" headerRowBorderDxfId="305" tableBorderDxfId="303" totalsRowBorderDxfId="301" headerRowCellStyle="Normalny 2" dataCellStyle="Normalny 3 2">
  <tableColumns count="5">
    <tableColumn id="2" name="Lp." totalsRowLabel="Suma" dataDxfId="300" totalsRowDxfId="299" dataCellStyle="Normalny 3 2"/>
    <tableColumn id="1" name="Opis" dataDxfId="298" totalsRowDxfId="297" dataCellStyle="Normalny 3 2"/>
    <tableColumn id="4" name="Ilość sztuk" dataDxfId="296" totalsRowDxfId="295" dataCellStyle="Normalny 3 2"/>
    <tableColumn id="5" name="Ryczałt jednostkowy [zł/msc]" dataDxfId="294" totalsRowDxfId="293" dataCellStyle="Dziesiętny"/>
    <tableColumn id="3" name="Ryczałt całkowity [zł/msc]" totalsRowFunction="sum" dataDxfId="292" totalsRowDxfId="291" dataCellStyle="Dziesiętny"/>
  </tableColumns>
  <tableStyleInfo name="Styl SUEZ" showFirstColumn="0" showLastColumn="0" showRowStripes="1" showColumnStripes="0"/>
</table>
</file>

<file path=xl/tables/table11.xml><?xml version="1.0" encoding="utf-8"?>
<table xmlns="http://schemas.openxmlformats.org/spreadsheetml/2006/main" id="3" name="Obsluga_ludzie" displayName="Obsluga_ludzie" ref="A4:V12" totalsRowCount="1" headerRowDxfId="287" dataDxfId="285" totalsRowDxfId="283" headerRowBorderDxfId="286" tableBorderDxfId="284" totalsRowBorderDxfId="282" headerRowCellStyle="Normalny 2" dataCellStyle="Dziesiętny">
  <tableColumns count="22">
    <tableColumn id="1" name="Lp." dataDxfId="281" totalsRowDxfId="280">
      <calculatedColumnFormula>ROW()-4</calculatedColumnFormula>
    </tableColumn>
    <tableColumn id="18" name="Koszt w przeliczeniu na:" dataDxfId="279" totalsRowDxfId="278"/>
    <tableColumn id="2" name=" Zatrudnienie przez:_x000a_[SUEZ/Agencja/Klient]" dataDxfId="277" totalsRowDxfId="276" dataCellStyle="Normalny 3 2"/>
    <tableColumn id="3" name="Stanowisko" dataDxfId="275" totalsRowDxfId="274"/>
    <tableColumn id="4" name="Ilość osób" totalsRowFunction="sum" dataDxfId="273" totalsRowDxfId="272" dataCellStyle="Dziesiętny"/>
    <tableColumn id="5" name="Ilość godzin pracy w miesiącu_x000a_[rbh/msc/os.]" dataDxfId="271" totalsRowDxfId="270" dataCellStyle="Dziesiętny"/>
    <tableColumn id="6" name="Koszt wynagrodzenia" totalsRowFunction="sum" dataDxfId="269" totalsRowDxfId="268" dataCellStyle="Dziesiętny"/>
    <tableColumn id="7" name="Jednostka_x000a_ (kosztu wynagrodzenia)" dataDxfId="267" totalsRowDxfId="266" dataCellStyle="Dziesiętny"/>
    <tableColumn id="13" name="Koszty Inne_x000a_[zł/msc]" dataDxfId="265" totalsRowDxfId="264" dataCellStyle="Dziesiętny"/>
    <tableColumn id="19" name="Dodatkowe koszty pracownicze_x000a_[zł/msc]" totalsRowFunction="sum" dataDxfId="263" totalsRowDxfId="262" dataCellStyle="Dziesiętny">
      <calculatedColumnFormula>IFERROR(Tabela15[[#Totals],[Koszt miesięczny
'[zł/msc']]]/Obsluga_ludzie[[#Totals],[Ilość osób]]*Obsluga_ludzie[[#This Row],[Ilość osób]],"")</calculatedColumnFormula>
    </tableColumn>
    <tableColumn id="8" name="Break_point_1" dataDxfId="261" totalsRowDxfId="260" dataCellStyle="Dziesiętny"/>
    <tableColumn id="9" name="Premia_x000a_[zł/m-c]" dataDxfId="259" totalsRowDxfId="258" dataCellStyle="Dziesiętny">
      <calculatedColumnFormula>IF(Obsluga_ludzie[[#This Row],[ Zatrudnienie przez:
'[SUEZ/Agencja/Klient']]]="SUEZ",IF(Obsluga_ludzie[[#This Row],[Jednostka
 (kosztu wynagrodzenia)]]="zł/msc",Obsluga_ludzie[[#This Row],[Koszt wynagrodzenia]]*$N$1,IF(Obsluga_ludzie[[#This Row],[Jednostka
 (kosztu wynagrodzenia)]]="zł/rbh",(Obsluga_ludzie[[#This Row],[Koszt wynagrodzenia]]*Obsluga_ludzie[[#This Row],[Ilość godzin pracy w miesiącu
'[rbh/msc/os.']]])*$N$1,"")),"")</calculatedColumnFormula>
    </tableColumn>
    <tableColumn id="10" name="ZUS  na jednego pracownika_x000a_[zł/m-c]" dataDxfId="257" totalsRowDxfId="256" dataCellStyle="Dziesiętny">
      <calculatedColumnFormula>IF(Obsluga_ludzie[[#This Row],[ Zatrudnienie przez:
'[SUEZ/Agencja/Klient']]]="SUEZ",IF(Obsluga_ludzie[[#This Row],[Jednostka
 (kosztu wynagrodzenia)]]="zł/msc",(Obsluga_ludzie[[#This Row],[Koszt wynagrodzenia]]+Obsluga_ludzie[[#This Row],[Premia
'[zł/m-c']]])*$N$2,IF(Obsluga_ludzie[[#This Row],[Jednostka
 (kosztu wynagrodzenia)]]="zł/rbh",((Obsluga_ludzie[[#This Row],[Koszt wynagrodzenia]]*Obsluga_ludzie[[#This Row],[Ilość godzin pracy w miesiącu
'[rbh/msc/os.']]])+Obsluga_ludzie[[#This Row],[Premia
'[zł/m-c']]])*$N$2,"")),"")</calculatedColumnFormula>
    </tableColumn>
    <tableColumn id="11" name="Fundusz socjalny (odpis)_x000a_[zł/m-c]" dataDxfId="255" totalsRowDxfId="254" dataCellStyle="Dziesiętny">
      <calculatedColumnFormula>IF(Obsluga_ludzie[[#This Row],[ Zatrudnienie przez:
'[SUEZ/Agencja/Klient']]]="SUEZ",100,"")</calculatedColumnFormula>
    </tableColumn>
    <tableColumn id="12" name="Całkowity koszt jednego pracownika_x000a_[zł/m-c]_x000a__x000a_SUEZ" dataDxfId="253" totalsRowDxfId="252" dataCellStyle="Dziesiętny">
      <calculatedColumnFormula>IF(Obsluga_ludzie[[#This Row],[ Zatrudnienie przez:
'[SUEZ/Agencja/Klient']]]="SUEZ",IF(Obsluga_ludzie[[#This Row],[Jednostka
 (kosztu wynagrodzenia)]]="zł/msc",Obsluga_ludzie[[#This Row],[Koszty Inne
'[zł/msc']]]+Obsluga_ludzie[[#This Row],[Dodatkowe koszty pracownicze
'[zł/msc']]]+Obsluga_ludzie[[#This Row],[Koszt wynagrodzenia]]+Obsluga_ludzie[[#This Row],[Premia
'[zł/m-c']]]+Obsluga_ludzie[[#This Row],[ZUS  na jednego pracownika
'[zł/m-c']]]+Obsluga_ludzie[[#This Row],[Fundusz socjalny (odpis)
'[zł/m-c']]],IF(Obsluga_ludzie[[#This Row],[Jednostka
 (kosztu wynagrodzenia)]]="zł/rbh",(Obsluga_ludzie[[#This Row],[Koszt wynagrodzenia]]*Obsluga_ludzie[[#This Row],[Ilość godzin pracy w miesiącu
'[rbh/msc/os.']]])+Obsluga_ludzie[[#This Row],[Premia
'[zł/m-c']]]+Obsluga_ludzie[[#This Row],[ZUS  na jednego pracownika
'[zł/m-c']]]+Obsluga_ludzie[[#This Row],[Fundusz socjalny (odpis)
'[zł/m-c']]]+Obsluga_ludzie[[#This Row],[Dodatkowe koszty pracownicze
'[zł/msc']]]+Obsluga_ludzie[[#This Row],[Koszty Inne
'[zł/msc']]],0)),0)</calculatedColumnFormula>
    </tableColumn>
    <tableColumn id="21" name="Break_point_2" dataDxfId="251" totalsRowDxfId="250" dataCellStyle="Dziesiętny"/>
    <tableColumn id="22" name="Całkowity koszt jednego pracownika_x000a_[zł/m-c]_x000a__x000a_AGENCJA" dataDxfId="249" totalsRowDxfId="248" dataCellStyle="Dziesiętny">
      <calculatedColumnFormula>IFERROR(IF(Obsluga_ludzie[[#This Row],[ Zatrudnienie przez:
'[SUEZ/Agencja/Klient']]]&lt;&gt;"SUEZ",IF(Obsluga_ludzie[[#This Row],[Jednostka
 (kosztu wynagrodzenia)]]="zł/msc",Obsluga_ludzie[[#This Row],[Koszt wynagrodzenia]]+Obsluga_ludzie[[#This Row],[Koszty Inne
'[zł/msc']]]+Obsluga_ludzie[[#This Row],[Dodatkowe koszty pracownicze
'[zł/msc']]],(Obsluga_ludzie[[#This Row],[Koszt wynagrodzenia]]*Obsluga_ludzie[[#This Row],[Ilość godzin pracy w miesiącu
'[rbh/msc/os.']]])+Obsluga_ludzie[[#This Row],[Koszty Inne
'[zł/msc']]]+Obsluga_ludzie[[#This Row],[Dodatkowe koszty pracownicze
'[zł/msc']]]),0),0)</calculatedColumnFormula>
    </tableColumn>
    <tableColumn id="14" name="Koszt miesięczny CAŁKOWITY wszystkich pracowników_x000a_[zł/msc]" totalsRowFunction="sum" dataDxfId="247" totalsRowDxfId="246" dataCellStyle="Dziesiętny">
      <calculatedColumnFormula>IF(Obsluga_ludzie[[#This Row],[ Zatrudnienie przez:
'[SUEZ/Agencja/Klient']]]="SUEZ",Obsluga_ludzie[[#This Row],[Całkowity koszt jednego pracownika
'[zł/m-c']
SUEZ]]*Obsluga_ludzie[[#This Row],[Ilość osób]],Obsluga_ludzie[[#This Row],[Całkowity koszt jednego pracownika
'[zł/m-c']
AGENCJA]]*Obsluga_ludzie[[#This Row],[Ilość osób]])</calculatedColumnFormula>
    </tableColumn>
    <tableColumn id="15" name="Koszt roczny CAŁKOWITY wszystkich pracowników_x000a_[zł/rok]" totalsRowFunction="sum" dataDxfId="245" totalsRowDxfId="244" dataCellStyle="Dziesiętny">
      <calculatedColumnFormula>IFERROR(Obsluga_ludzie[[#This Row],[Koszt miesięczny CAŁKOWITY wszystkich pracowników
'[zł/msc']]]*12,0)</calculatedColumnFormula>
    </tableColumn>
    <tableColumn id="16" name="Koszt roczny w przeliczeniu na tonę (zł/Mg)" totalsRowFunction="sum" dataDxfId="243" totalsRowDxfId="242" dataCellStyle="Dziesiętny">
      <calculatedColumnFormula>IF(Obsluga_ludzie[[#This Row],[Koszt w przeliczeniu na:]]="Całkowita masa odpadów",Obsluga_ludzie[[#This Row],[Koszt roczny CAŁKOWITY wszystkich pracowników
'[zł/rok']]]/Kalkulacja[[#Totals],[Szacunkowa ilość odpadu /rok]],"Ryczałt")</calculatedColumnFormula>
    </tableColumn>
    <tableColumn id="20" name="Termin obowiązywania oferty" dataDxfId="241" totalsRowDxfId="240" dataCellStyle="Dziesiętny"/>
    <tableColumn id="17" name="Komentarz/Opis uzupełniający" dataDxfId="239" totalsRowDxfId="238" dataCellStyle="Dziesiętny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5" name="Tabela15" displayName="Tabela15" ref="A16:F25" totalsRowCount="1" headerRowDxfId="237" dataDxfId="235" totalsRowDxfId="234" headerRowBorderDxfId="236" headerRowCellStyle="Normalny 2">
  <tableColumns count="6">
    <tableColumn id="1" name="Lp." dataDxfId="233" totalsRowDxfId="232"/>
    <tableColumn id="2" name="Opis kosztu" dataDxfId="231" totalsRowDxfId="230"/>
    <tableColumn id="3" name="Cena jedn_x000a_[zł/szt.]" dataDxfId="229" totalsRowDxfId="228"/>
    <tableColumn id="4" name="Ilość w roku_x000a_[szt./rok]" dataDxfId="227" totalsRowDxfId="226"/>
    <tableColumn id="5" name="Roczny Koszt całkowity_x000a_[zł/rok]" totalsRowFunction="sum" totalsRowDxfId="225">
      <calculatedColumnFormula>Tabela15[[#This Row],[Ilość w roku
'[szt./rok']]]*Tabela15[[#This Row],[Cena jedn
'[zł/szt.']]]</calculatedColumnFormula>
    </tableColumn>
    <tableColumn id="6" name="Koszt miesięczny_x000a_[zł/msc]" totalsRowFunction="sum" totalsRowDxfId="224">
      <calculatedColumnFormula>Tabela15[[#This Row],[Roczny Koszt całkowity
'[zł/rok']]]/12</calculatedColumnFormula>
    </tableColumn>
  </tableColumns>
  <tableStyleInfo name="Styl SUEZ" showFirstColumn="0" showLastColumn="0" showRowStripes="1" showColumnStripes="0"/>
</table>
</file>

<file path=xl/tables/table13.xml><?xml version="1.0" encoding="utf-8"?>
<table xmlns="http://schemas.openxmlformats.org/spreadsheetml/2006/main" id="6" name="Podsumowanie_L" displayName="Podsumowanie_L" ref="A28:J30" totalsRowCount="1" headerRowDxfId="223" dataDxfId="221" totalsRowDxfId="220" headerRowBorderDxfId="222" headerRowCellStyle="Normalny 2">
  <tableColumns count="10">
    <tableColumn id="10" name="Lp." dataDxfId="219" totalsRowDxfId="218"/>
    <tableColumn id="1" name="Podsumowanie" totalsRowLabel="Suma:" dataDxfId="217" totalsRowDxfId="216"/>
    <tableColumn id="2" name="Suma kosztów_x000a_[zł/m-c]" totalsRowFunction="sum" dataDxfId="215" totalsRowDxfId="214" dataCellStyle="Dziesiętny">
      <calculatedColumnFormula>SUMIFS(Obsluga_ludzie[Koszt miesięczny CAŁKOWITY wszystkich pracowników
'[zł/msc']],Obsluga_ludzie[Koszt w przeliczeniu na:],"Ryczałt dla Klienta")</calculatedColumnFormula>
    </tableColumn>
    <tableColumn id="3" name="Narzut_x000a_[%]" totalsRowFunction="custom" dataDxfId="213" totalsRowDxfId="212" dataCellStyle="Procentowy">
      <totalsRowFormula>Podsumowanie_L[[#Totals],[Zysk 
'[zł/m-c']]]/Podsumowanie_L[[#Totals],[Obrót 
'[zł/m-c']]]</totalsRowFormula>
    </tableColumn>
    <tableColumn id="4" name="Obrót _x000a_[zł/m-c]" totalsRowFunction="sum" dataDxfId="211" totalsRowDxfId="210" dataCellStyle="Dziesiętny">
      <calculatedColumnFormula>Podsumowanie_L[[#This Row],[Suma kosztów
'[zł/m-c']]]*(1+Podsumowanie_L[[#This Row],[Narzut
'[%']]])</calculatedColumnFormula>
    </tableColumn>
    <tableColumn id="5" name="Zysk _x000a_[zł/m-c]" totalsRowFunction="sum" dataDxfId="209" totalsRowDxfId="208" dataCellStyle="Dziesiętny">
      <calculatedColumnFormula>Podsumowanie_L[[#This Row],[Obrót 
'[zł/m-c']]]-Podsumowanie_L[[#This Row],[Suma kosztów
'[zł/m-c']]]</calculatedColumnFormula>
    </tableColumn>
    <tableColumn id="6" name="Suma kosztów_x000a_[zł/rok]" totalsRowFunction="sum" dataDxfId="207" totalsRowDxfId="206" dataCellStyle="Dziesiętny">
      <calculatedColumnFormula>Podsumowanie_L[[#This Row],[Suma kosztów
'[zł/m-c']]]*12</calculatedColumnFormula>
    </tableColumn>
    <tableColumn id="7" name="Rentowność _x000a_[%]" totalsRowFunction="custom" dataDxfId="205" totalsRowDxfId="204" dataCellStyle="Procentowy">
      <calculatedColumnFormula>Podsumowanie_L[[#This Row],[Zysk
 '[zł/rok']]]/Podsumowanie_L[[#This Row],[Obrót 
'[zł/rok']]]</calculatedColumnFormula>
      <totalsRowFormula>Podsumowanie_L[[#Totals],[Zysk
 '[zł/rok']]]/Podsumowanie_L[[#Totals],[Obrót 
'[zł/rok']]]</totalsRowFormula>
    </tableColumn>
    <tableColumn id="8" name="Obrót _x000a_[zł/rok]" totalsRowFunction="sum" dataDxfId="203" totalsRowDxfId="202" dataCellStyle="Dziesiętny">
      <calculatedColumnFormula>Podsumowanie_L[[#This Row],[Obrót 
'[zł/m-c']]]*12</calculatedColumnFormula>
    </tableColumn>
    <tableColumn id="9" name="Zysk_x000a_ [zł/rok]" totalsRowFunction="sum" dataDxfId="201" totalsRowDxfId="200" dataCellStyle="Dziesiętny">
      <calculatedColumnFormula>Podsumowanie_L[[#This Row],[Zysk 
'[zł/m-c']]]*12</calculatedColumnFormula>
    </tableColumn>
  </tableColumns>
  <tableStyleInfo showFirstColumn="0" showLastColumn="0" showRowStripes="0" showColumnStripes="0"/>
</table>
</file>

<file path=xl/tables/table14.xml><?xml version="1.0" encoding="utf-8"?>
<table xmlns="http://schemas.openxmlformats.org/spreadsheetml/2006/main" id="21" name="Ryczałty_TL" displayName="Ryczałty_TL" ref="A34:E36" insertRow="1" totalsRowCount="1" headerRowDxfId="199" dataDxfId="197" totalsRowDxfId="195" headerRowBorderDxfId="198" tableBorderDxfId="196" totalsRowBorderDxfId="194" headerRowCellStyle="Normalny 2" dataCellStyle="Normalny 3 2">
  <tableColumns count="5">
    <tableColumn id="2" name="Lp." totalsRowLabel="Suma" dataDxfId="193" totalsRowDxfId="192" dataCellStyle="Normalny 3 2"/>
    <tableColumn id="1" name="Opis" dataDxfId="191" totalsRowDxfId="190" dataCellStyle="Normalny 3 2"/>
    <tableColumn id="4" name="Ilość osób" dataDxfId="189" totalsRowDxfId="188" dataCellStyle="Normalny 3 2"/>
    <tableColumn id="5" name="Ryczałt jednostkowy [zł/msc]" dataDxfId="187" totalsRowDxfId="186" dataCellStyle="Dziesiętny"/>
    <tableColumn id="3" name="Ryczałt całkowity [zł/msc]" totalsRowFunction="sum" dataDxfId="185" totalsRowDxfId="184" dataCellStyle="Dziesiętny"/>
  </tableColumns>
  <tableStyleInfo name="Styl SUEZ" showFirstColumn="0" showLastColumn="0" showRowStripes="1" showColumnStripes="0"/>
</table>
</file>

<file path=xl/tables/table15.xml><?xml version="1.0" encoding="utf-8"?>
<table xmlns="http://schemas.openxmlformats.org/spreadsheetml/2006/main" id="8" name="Podsumowanie_ROK" displayName="Podsumowanie_ROK" ref="B14:J19" totalsRowCount="1" headerRowDxfId="183" dataDxfId="181" totalsRowDxfId="179" headerRowBorderDxfId="182" tableBorderDxfId="180" dataCellStyle="Dziesiętny 2">
  <tableColumns count="9">
    <tableColumn id="7" name="Podsumowanie" totalsRowLabel=" Podsumowanie " dataDxfId="178" totalsRowDxfId="177"/>
    <tableColumn id="1" name="Ilość odpadów _x000a_[Mg/rok]" totalsRowFunction="custom" dataDxfId="176" totalsRowDxfId="175" dataCellStyle="Dziesiętny 2">
      <totalsRowFormula>C17</totalsRowFormula>
    </tableColumn>
    <tableColumn id="2" name="Rentowność _x000a_[%]" totalsRowFunction="custom" dataDxfId="174" totalsRowDxfId="173" dataCellStyle="Procentowy">
      <totalsRowFormula>Podsumowanie_ROK[[#Totals],[Zysk '[PLN/rok']]]/Podsumowanie_ROK[[#Totals],[Obrót '[PLN/rok'] ]]</totalsRowFormula>
    </tableColumn>
    <tableColumn id="3" name="Obrót [PLN/rok] " totalsRowFunction="custom" dataDxfId="172" totalsRowDxfId="171" dataCellStyle="Dziesiętny 2">
      <totalsRowFormula>SUM(E17:E18)</totalsRowFormula>
    </tableColumn>
    <tableColumn id="4" name="Zysk [PLN/rok]" totalsRowFunction="custom" dataDxfId="170" totalsRowDxfId="169" dataCellStyle="Dziesiętny 2">
      <totalsRowFormula>SUM(F17:F18)</totalsRowFormula>
    </tableColumn>
    <tableColumn id="9" name="Zysk [zł/Mg]" totalsRowFunction="custom" dataDxfId="168" totalsRowDxfId="167" dataCellStyle="Dziesiętny 2">
      <totalsRowFormula>SUM(G17:G18)</totalsRowFormula>
    </tableColumn>
    <tableColumn id="5" name="SUEZ płaci Klientowi [PLN/rok]" totalsRowFunction="custom" dataDxfId="166" totalsRowDxfId="165" dataCellStyle="Dziesiętny 2">
      <totalsRowFormula>SUM(H17:H18)</totalsRowFormula>
    </tableColumn>
    <tableColumn id="6" name="Klient płaci SUEZ [PLN/rok]" totalsRowFunction="custom" dataDxfId="164" totalsRowDxfId="163" dataCellStyle="Dziesiętny 2">
      <totalsRowFormula>SUM(I17:I18)</totalsRowFormula>
    </tableColumn>
    <tableColumn id="10" name="Bilans Klienta_x000a_[zł/rok]" totalsRowFunction="custom" dataDxfId="162" totalsRowDxfId="161" dataCellStyle="Dziesiętny 2">
      <totalsRowFormula>SUM(J17:J18)</totalsRowFormula>
    </tableColumn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id="11" name="Podsumowanie_KON" displayName="Podsumowanie_KON" ref="B33:K40" totalsRowCount="1" headerRowDxfId="160" dataDxfId="158" totalsRowDxfId="157" headerRowBorderDxfId="159" dataCellStyle="Dziesiętny 2">
  <tableColumns count="10">
    <tableColumn id="7" name="Podsumowanie" totalsRowLabel=" Podsumowanie " dataDxfId="156" totalsRowDxfId="155"/>
    <tableColumn id="1" name="Ilość odpadów _x000a_[Mg/kontrakt]" totalsRowFunction="custom" dataDxfId="154" totalsRowDxfId="153" dataCellStyle="Dziesiętny 2">
      <calculatedColumnFormula>SUMIFS(Kalkulacja[Szacunkowa ilość odpadu (Mg/rok)],Kalkulacja[Rodzaj odpadu],Podsumowanie_KON[[#This Row],[Podsumowanie]])</calculatedColumnFormula>
      <totalsRowFormula>C36+C39</totalsRowFormula>
    </tableColumn>
    <tableColumn id="2" name="Rentowność [%]" totalsRowFunction="custom" dataDxfId="152" totalsRowDxfId="151" dataCellStyle="Procentowy">
      <calculatedColumnFormula>IFERROR(Podsumowanie_KON[[#This Row],[Zysk '[PLN/kontrakt']]]/Podsumowanie_KON[[#This Row],[Obrót '[PLN/kontrakt']]],0)</calculatedColumnFormula>
      <totalsRowFormula>Podsumowanie_KON[[#Totals],[Zysk '[PLN/kontrakt']]]/Podsumowanie_KON[[#Totals],[Obrót '[PLN/kontrakt']]]</totalsRowFormula>
    </tableColumn>
    <tableColumn id="3" name="Obrót [PLN/kontrakt]" totalsRowFunction="custom" dataDxfId="150" totalsRowDxfId="149" dataCellStyle="Dziesiętny 2">
      <calculatedColumnFormula>SUMIFS(Kalkulacja[Obrót (PLN/rok) ],Kalkulacja[Rodzaj odpadu],Podsumowanie_KON[[#This Row],[Podsumowanie]])</calculatedColumnFormula>
      <totalsRowFormula>E36+E39</totalsRowFormula>
    </tableColumn>
    <tableColumn id="4" name="Zysk [PLN/kontrakt]" totalsRowFunction="custom" dataDxfId="148" totalsRowDxfId="147" dataCellStyle="Dziesiętny 2">
      <calculatedColumnFormula>SUMIFS(Kalkulacja[Zysk (PLN/rok)],Kalkulacja[Rodzaj odpadu],Podsumowanie_KON[[#This Row],[Podsumowanie]])</calculatedColumnFormula>
      <totalsRowFormula>F36+F39</totalsRowFormula>
    </tableColumn>
    <tableColumn id="9" name="Zysk [zł/Mg]" totalsRowFunction="custom" dataDxfId="146" totalsRowDxfId="145" dataCellStyle="Dziesiętny 2">
      <calculatedColumnFormula>IFERROR(Podsumowanie_KON[[#This Row],[Zysk '[PLN/kontrakt']]]/Podsumowanie_KON[[#This Row],[Ilość odpadów 
'[Mg/kontrakt']]],"")</calculatedColumnFormula>
      <totalsRowFormula>G36+G39</totalsRowFormula>
    </tableColumn>
    <tableColumn id="5" name="SUEZ płaci Klientowi [PLN/kontrakt]" totalsRowFunction="custom" dataDxfId="144" totalsRowDxfId="143" dataCellStyle="Dziesiętny 2">
      <calculatedColumnFormula>SUMIFS(Kalkulacja[SUEZ płaci Klientowi (PLN/rok)],Kalkulacja[Rodzaj odpadu],Podsumowanie_KON[[#This Row],[Podsumowanie]])</calculatedColumnFormula>
      <totalsRowFormula>H36+H39</totalsRowFormula>
    </tableColumn>
    <tableColumn id="6" name="Klient płaci SUEZ [PLN/kontrakt]" totalsRowFunction="custom" dataDxfId="142" totalsRowDxfId="141" dataCellStyle="Dziesiętny 2">
      <calculatedColumnFormula>SUMIFS(Kalkulacja[Klient płaci SUEZ (PLN/rok)],Kalkulacja[Rodzaj odpadu],Podsumowanie_KON[[#This Row],[Podsumowanie]])</calculatedColumnFormula>
      <totalsRowFormula>I36+I39</totalsRowFormula>
    </tableColumn>
    <tableColumn id="10" name="Bilans klienta_x000a_[zł/kontrakt]" totalsRowFunction="custom" dataDxfId="140" totalsRowDxfId="139" dataCellStyle="Dziesiętny 2">
      <calculatedColumnFormula>Podsumowanie_KON[[#This Row],[SUEZ płaci Klientowi '[PLN/kontrakt']]]-Podsumowanie_KON[[#This Row],[Klient płaci SUEZ '[PLN/kontrakt']]]</calculatedColumnFormula>
      <totalsRowFormula>J36+J39</totalsRowFormula>
    </tableColumn>
    <tableColumn id="8" name="Nazwa Tabeli" dataDxfId="138" totalsRowDxfId="137" dataCellStyle="Dziesiętny 2"/>
  </tableColumns>
  <tableStyleInfo showFirstColumn="1" showLastColumn="1" showRowStripes="1" showColumnStripes="0"/>
</table>
</file>

<file path=xl/tables/table17.xml><?xml version="1.0" encoding="utf-8"?>
<table xmlns="http://schemas.openxmlformats.org/spreadsheetml/2006/main" id="12" name="Capex_KON" displayName="Capex_KON" ref="B42:C52" totalsRowShown="0" headerRowDxfId="136" dataDxfId="135">
  <tableColumns count="2">
    <tableColumn id="1" name="Kolumna1" dataDxfId="134"/>
    <tableColumn id="2" name="Kolumna2" dataDxfId="133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id="22" name="SGA_KON23" displayName="SGA_KON23" ref="E43:G47" totalsRowShown="0" headerRowDxfId="132" dataDxfId="131">
  <tableColumns count="3">
    <tableColumn id="1" name="SGA - Contract Manager" dataDxfId="130"/>
    <tableColumn id="3" name="0,00" dataDxfId="129" dataCellStyle="Dziesiętny"/>
    <tableColumn id="2" name="dni/m-c" dataDxfId="128" dataCellStyle="Dziesiętny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id="24" name="Podsumowanie_SP" displayName="Podsumowanie_SP" ref="B13:K16" totalsRowShown="0" headerRowDxfId="127" dataDxfId="125" totalsRowDxfId="124" headerRowBorderDxfId="126" dataCellStyle="Dziesiętny 2">
  <tableColumns count="10">
    <tableColumn id="7" name="Podsumowanie" dataDxfId="123" totalsRowDxfId="122"/>
    <tableColumn id="1" name="Ilość odpadów _x000a_[Mg/kontrakt]" dataDxfId="121" totalsRowDxfId="120" dataCellStyle="Dziesiętny 2">
      <calculatedColumnFormula>SUMIFS(Kalkulacja[Szacunkowa ilość odpadu (Mg/rok)],Kalkulacja[Rodzaj odpadu],Podsumowanie_SP[[#This Row],[Podsumowanie]])</calculatedColumnFormula>
    </tableColumn>
    <tableColumn id="2" name="Rentowność [%]" dataDxfId="119" totalsRowDxfId="118" dataCellStyle="Procentowy">
      <calculatedColumnFormula>IFERROR(Podsumowanie_SP[[#This Row],[Zysk '[PLN/kontrakt']]]/Podsumowanie_SP[[#This Row],[Obrót '[PLN/kontrakt']]],0)</calculatedColumnFormula>
    </tableColumn>
    <tableColumn id="3" name="Obrót [PLN/kontrakt]" dataDxfId="117" totalsRowDxfId="116" dataCellStyle="Dziesiętny 2">
      <calculatedColumnFormula>SUMIFS(Kalkulacja[Obrót (PLN/rok) ],Kalkulacja[Rodzaj odpadu],Podsumowanie_SP[[#This Row],[Podsumowanie]])</calculatedColumnFormula>
    </tableColumn>
    <tableColumn id="4" name="Zysk [PLN/kontrakt]" dataDxfId="115" totalsRowDxfId="114" dataCellStyle="Dziesiętny 2">
      <calculatedColumnFormula>SUMIFS(Kalkulacja[Zysk (PLN/rok)],Kalkulacja[Rodzaj odpadu],Podsumowanie_SP[[#This Row],[Podsumowanie]])</calculatedColumnFormula>
    </tableColumn>
    <tableColumn id="9" name="Zysk [zł/Mg]" dataDxfId="113" totalsRowDxfId="112" dataCellStyle="Dziesiętny">
      <calculatedColumnFormula>IFERROR(Podsumowanie_SP[[#This Row],[Zysk '[PLN/kontrakt']]]/Podsumowanie_SP[[#This Row],[Ilość odpadów 
'[Mg/kontrakt']]],"")</calculatedColumnFormula>
    </tableColumn>
    <tableColumn id="5" name="SPÓŁKA płaci SUEZ POLSKA [PLN/kontrakt]" dataDxfId="111" totalsRowDxfId="110" dataCellStyle="Dziesiętny 2">
      <calculatedColumnFormula>SUMIFS(Kalkulacja[SUEZ płaci Klientowi (PLN/rok)],Kalkulacja[Rodzaj odpadu],Podsumowanie_SP[[#This Row],[Podsumowanie]])</calculatedColumnFormula>
    </tableColumn>
    <tableColumn id="6" name="SUEZ POLSKA płaci SPÓŁCE [PLN/kontrakt]" dataDxfId="109" totalsRowDxfId="108" dataCellStyle="Dziesiętny 2">
      <calculatedColumnFormula>SUMIFS(Kalkulacja[Klient płaci SUEZ (PLN/rok)],Kalkulacja[Rodzaj odpadu],Podsumowanie_SP[[#This Row],[Podsumowanie]])</calculatedColumnFormula>
    </tableColumn>
    <tableColumn id="10" name="Bilans SUEZ POLSKA_x000a_[zł/kontrakt]" dataDxfId="107" totalsRowDxfId="106" dataCellStyle="Dziesiętny 2">
      <calculatedColumnFormula>Podsumowanie_SP[[#This Row],[SPÓŁKA płaci SUEZ POLSKA '[PLN/kontrakt']]]-Podsumowanie_SP[[#This Row],[SUEZ POLSKA płaci SPÓŁCE '[PLN/kontrakt']]]</calculatedColumnFormula>
    </tableColumn>
    <tableColumn id="8" name="Nazwa Tabeli" dataDxfId="105" totalsRowDxfId="104" dataCellStyle="Dziesiętny 2"/>
  </tableColumns>
  <tableStyleInfo showFirstColumn="1" showLastColumn="1" showRowStripes="1" showColumnStripes="0"/>
</table>
</file>

<file path=xl/tables/table20.xml><?xml version="1.0" encoding="utf-8"?>
<table xmlns="http://schemas.openxmlformats.org/spreadsheetml/2006/main" id="27" name="Podsumowanie_POL" displayName="Podsumowanie_POL" ref="B20:K27" totalsRowCount="1" headerRowDxfId="103" dataDxfId="101" totalsRowDxfId="100" headerRowBorderDxfId="102" totalsRowBorderDxfId="99" dataCellStyle="Dziesiętny 2">
  <tableColumns count="10">
    <tableColumn id="7" name="Podsumowanie" totalsRowLabel=" Podsumowanie " dataDxfId="98" totalsRowDxfId="97"/>
    <tableColumn id="1" name="Ilość odpadów _x000a_[Mg/kontrakt]" totalsRowFunction="custom" dataDxfId="96" totalsRowDxfId="95" dataCellStyle="Dziesiętny 2">
      <calculatedColumnFormula>SUMIFS(Kalkulacja[Szacunkowa ilość odpadu (Mg/rok)],Kalkulacja[Rodzaj odpadu],Podsumowanie_POL[[#This Row],[Podsumowanie]])</calculatedColumnFormula>
      <totalsRowFormula>SUM(C23,C26)</totalsRowFormula>
    </tableColumn>
    <tableColumn id="2" name="Rentowność [%]" totalsRowFunction="custom" dataDxfId="94" totalsRowDxfId="93" dataCellStyle="Procentowy">
      <calculatedColumnFormula>IFERROR(Podsumowanie_POL[[#This Row],[Zysk '[PLN/kontrakt']]]/Podsumowanie_POL[[#This Row],[Obrót '[PLN/kontrakt']]],0)</calculatedColumnFormula>
      <totalsRowFormula>Podsumowanie_POL[[#Totals],[Zysk '[PLN/kontrakt']]]/Podsumowanie_POL[[#Totals],[Obrót '[PLN/kontrakt']]]</totalsRowFormula>
    </tableColumn>
    <tableColumn id="3" name="Obrót [PLN/kontrakt]" totalsRowFunction="custom" dataDxfId="92" totalsRowDxfId="91" dataCellStyle="Dziesiętny 2">
      <calculatedColumnFormula>SUMIFS(Kalkulacja[Obrót (PLN/rok) ],Kalkulacja[Rodzaj odpadu],Podsumowanie_POL[[#This Row],[Podsumowanie]])</calculatedColumnFormula>
      <totalsRowFormula>SUM(E23,E26)</totalsRowFormula>
    </tableColumn>
    <tableColumn id="4" name="Zysk [PLN/kontrakt]" totalsRowFunction="custom" dataDxfId="90" totalsRowDxfId="89" dataCellStyle="Dziesiętny 2">
      <calculatedColumnFormula>SUMIFS(Kalkulacja[Zysk (PLN/rok)],Kalkulacja[Rodzaj odpadu],Podsumowanie_POL[[#This Row],[Podsumowanie]])</calculatedColumnFormula>
      <totalsRowFormula>SUM(F23,F26)</totalsRowFormula>
    </tableColumn>
    <tableColumn id="9" name="Zysk [zł/Mg]" totalsRowFunction="custom" dataDxfId="88" totalsRowDxfId="87" dataCellStyle="Dziesiętny 2">
      <calculatedColumnFormula>IFERROR(Podsumowanie_POL[[#This Row],[Zysk '[PLN/kontrakt']]]/Podsumowanie_POL[[#This Row],[Ilość odpadów 
'[Mg/kontrakt']]],"")</calculatedColumnFormula>
      <totalsRowFormula>G26+G23</totalsRowFormula>
    </tableColumn>
    <tableColumn id="5" name="SUEZ płaci Klientowi [PLN/kontrakt]" totalsRowFunction="custom" dataDxfId="86" totalsRowDxfId="85" dataCellStyle="Dziesiętny 2">
      <calculatedColumnFormula>SUMIFS(Kalkulacja[SUEZ płaci Klientowi (PLN/rok)],Kalkulacja[Rodzaj odpadu],Podsumowanie_POL[[#This Row],[Podsumowanie]])</calculatedColumnFormula>
      <totalsRowFormula>SUM(H23,H26)</totalsRowFormula>
    </tableColumn>
    <tableColumn id="6" name="Klient płaci SUEZ [PLN/kontrakt]" totalsRowFunction="custom" dataDxfId="84" totalsRowDxfId="83" dataCellStyle="Dziesiętny 2">
      <calculatedColumnFormula>SUMIFS(Kalkulacja[Klient płaci SUEZ (PLN/rok)],Kalkulacja[Rodzaj odpadu],Podsumowanie_POL[[#This Row],[Podsumowanie]])</calculatedColumnFormula>
      <totalsRowFormula>SUM(I23,I26)</totalsRowFormula>
    </tableColumn>
    <tableColumn id="10" name="Bilans klienta_x000a_[zł/kontrakt]" totalsRowFunction="custom" dataDxfId="82" totalsRowDxfId="81" dataCellStyle="Dziesiętny 2">
      <calculatedColumnFormula>Podsumowanie_POL[[#This Row],[SUEZ płaci Klientowi '[PLN/kontrakt']]]-Podsumowanie_POL[[#This Row],[Klient płaci SUEZ '[PLN/kontrakt']]]</calculatedColumnFormula>
      <totalsRowFormula>SUM(J23,J26)</totalsRowFormula>
    </tableColumn>
    <tableColumn id="8" name="Nazwa Tabeli" dataDxfId="80" totalsRowDxfId="79" dataCellStyle="Dziesiętny 2"/>
  </tableColumns>
  <tableStyleInfo showFirstColumn="1" showLastColumn="1" showRowStripes="1" showColumnStripes="0"/>
</table>
</file>

<file path=xl/tables/table21.xml><?xml version="1.0" encoding="utf-8"?>
<table xmlns="http://schemas.openxmlformats.org/spreadsheetml/2006/main" id="9" name="publ_sredni_m_2018" displayName="publ_sredni_m_2018" ref="A1:P37" tableType="queryTable" totalsRowCount="1">
  <autoFilter ref="A1:P36">
    <filterColumn colId="1">
      <filters>
        <filter val="EUR"/>
        <filter val="USD"/>
      </filters>
    </filterColumn>
  </autoFilter>
  <tableColumns count="16">
    <tableColumn id="1" uniqueName="1" name="waluta" totalsRowLabel="Suma" queryTableFieldId="1" dataDxfId="78" totalsRowDxfId="77" dataCellStyle="Normalny 2"/>
    <tableColumn id="2" uniqueName="2" name="kod" queryTableFieldId="2" dataDxfId="76" totalsRowDxfId="75" dataCellStyle="Normalny 2"/>
    <tableColumn id="3" uniqueName="3" name="liczba jednostek" queryTableFieldId="3" totalsRowDxfId="74" dataCellStyle="Normalny 2"/>
    <tableColumn id="4" uniqueName="4" name="styczeń" queryTableFieldId="4" totalsRowDxfId="73" dataCellStyle="Normalny 2"/>
    <tableColumn id="5" uniqueName="5" name="luty" queryTableFieldId="5" dataDxfId="72" totalsRowDxfId="71" dataCellStyle="Normalny 2"/>
    <tableColumn id="6" uniqueName="6" name="marzec" queryTableFieldId="6" dataDxfId="70" totalsRowDxfId="69" dataCellStyle="Normalny 2"/>
    <tableColumn id="7" uniqueName="7" name="kwiecień" queryTableFieldId="7" dataDxfId="68" totalsRowDxfId="67" dataCellStyle="Normalny 2"/>
    <tableColumn id="8" uniqueName="8" name="maj" queryTableFieldId="8" dataDxfId="66" totalsRowDxfId="65" dataCellStyle="Normalny 2"/>
    <tableColumn id="9" uniqueName="9" name="czerwiec" queryTableFieldId="9" dataDxfId="64" totalsRowDxfId="63" dataCellStyle="Normalny 2"/>
    <tableColumn id="10" uniqueName="10" name="lipiec" queryTableFieldId="10" dataDxfId="62" totalsRowDxfId="61" dataCellStyle="Normalny 2"/>
    <tableColumn id="11" uniqueName="11" name="sierpień" queryTableFieldId="11" dataDxfId="60" totalsRowDxfId="59" dataCellStyle="Normalny 2"/>
    <tableColumn id="12" uniqueName="12" name="wrzesień" queryTableFieldId="12" dataDxfId="58" totalsRowDxfId="57" dataCellStyle="Normalny 2"/>
    <tableColumn id="13" uniqueName="13" name="październik" queryTableFieldId="13" dataDxfId="56" totalsRowDxfId="55" dataCellStyle="Normalny 2"/>
    <tableColumn id="14" uniqueName="14" name="listopad" queryTableFieldId="14" dataDxfId="54" totalsRowDxfId="53" dataCellStyle="Normalny 2"/>
    <tableColumn id="15" uniqueName="15" name="grudzień" queryTableFieldId="15" dataDxfId="52" totalsRowDxfId="51" dataCellStyle="Normalny 2"/>
    <tableColumn id="16" uniqueName="16" name="Column1" totalsRowFunction="count" queryTableFieldId="16" dataDxfId="50" totalsRowDxfId="49" dataCellStyle="Normalny 2"/>
  </tableColumns>
  <tableStyleInfo name="Styl SUEZ" showFirstColumn="0" showLastColumn="0" showRowStripes="1" showColumnStripes="0"/>
</table>
</file>

<file path=xl/tables/table22.xml><?xml version="1.0" encoding="utf-8"?>
<table xmlns="http://schemas.openxmlformats.org/spreadsheetml/2006/main" id="7" name="Tabela7" displayName="Tabela7" ref="A1:C920" totalsRowShown="0">
  <autoFilter ref="A1:C920"/>
  <tableColumns count="3">
    <tableColumn id="1" name="Kod odpadu"/>
    <tableColumn id="2" name="Rodzaj odpadu"/>
    <tableColumn id="3" name="SITA_Starol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34" Type="http://schemas.openxmlformats.org/officeDocument/2006/relationships/table" Target="../tables/table5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table" Target="../tables/table4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table" Target="../tables/table3.xml"/><Relationship Id="rId37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36" Type="http://schemas.openxmlformats.org/officeDocument/2006/relationships/table" Target="../tables/table7.xml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table" Target="../tables/table2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table" Target="../tables/table1.xml"/><Relationship Id="rId35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10" Type="http://schemas.openxmlformats.org/officeDocument/2006/relationships/table" Target="../tables/table10.xml"/><Relationship Id="rId4" Type="http://schemas.openxmlformats.org/officeDocument/2006/relationships/control" Target="../activeX/activeX15.xml"/><Relationship Id="rId9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8.xml"/><Relationship Id="rId11" Type="http://schemas.openxmlformats.org/officeDocument/2006/relationships/table" Target="../tables/table14.xml"/><Relationship Id="rId5" Type="http://schemas.openxmlformats.org/officeDocument/2006/relationships/image" Target="../media/image18.emf"/><Relationship Id="rId10" Type="http://schemas.openxmlformats.org/officeDocument/2006/relationships/table" Target="../tables/table13.xml"/><Relationship Id="rId4" Type="http://schemas.openxmlformats.org/officeDocument/2006/relationships/control" Target="../activeX/activeX17.xml"/><Relationship Id="rId9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3"/>
  <dimension ref="A1:Q25"/>
  <sheetViews>
    <sheetView workbookViewId="0">
      <selection sqref="A1:Q25"/>
    </sheetView>
  </sheetViews>
  <sheetFormatPr defaultColWidth="0" defaultRowHeight="13.2" zeroHeight="1"/>
  <cols>
    <col min="1" max="17" width="7" style="132" customWidth="1"/>
    <col min="18" max="16384" width="8.5546875" style="132" hidden="1"/>
  </cols>
  <sheetData>
    <row r="1" spans="1:17" ht="7.5" customHeight="1">
      <c r="A1" s="660" t="s">
        <v>2346</v>
      </c>
      <c r="B1" s="661"/>
      <c r="C1" s="661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2"/>
    </row>
    <row r="2" spans="1:17" ht="7.5" customHeight="1">
      <c r="A2" s="663"/>
      <c r="B2" s="664"/>
      <c r="C2" s="664"/>
      <c r="D2" s="664"/>
      <c r="E2" s="664"/>
      <c r="F2" s="664"/>
      <c r="G2" s="664"/>
      <c r="H2" s="664"/>
      <c r="I2" s="664"/>
      <c r="J2" s="664"/>
      <c r="K2" s="664"/>
      <c r="L2" s="664"/>
      <c r="M2" s="664"/>
      <c r="N2" s="664"/>
      <c r="O2" s="664"/>
      <c r="P2" s="664"/>
      <c r="Q2" s="665"/>
    </row>
    <row r="3" spans="1:17" ht="7.5" customHeight="1">
      <c r="A3" s="663"/>
      <c r="B3" s="664"/>
      <c r="C3" s="664"/>
      <c r="D3" s="664"/>
      <c r="E3" s="664"/>
      <c r="F3" s="664"/>
      <c r="G3" s="664"/>
      <c r="H3" s="664"/>
      <c r="I3" s="664"/>
      <c r="J3" s="664"/>
      <c r="K3" s="664"/>
      <c r="L3" s="664"/>
      <c r="M3" s="664"/>
      <c r="N3" s="664"/>
      <c r="O3" s="664"/>
      <c r="P3" s="664"/>
      <c r="Q3" s="665"/>
    </row>
    <row r="4" spans="1:17" ht="7.5" customHeight="1">
      <c r="A4" s="663"/>
      <c r="B4" s="664"/>
      <c r="C4" s="664"/>
      <c r="D4" s="664"/>
      <c r="E4" s="664"/>
      <c r="F4" s="664"/>
      <c r="G4" s="664"/>
      <c r="H4" s="664"/>
      <c r="I4" s="664"/>
      <c r="J4" s="664"/>
      <c r="K4" s="664"/>
      <c r="L4" s="664"/>
      <c r="M4" s="664"/>
      <c r="N4" s="664"/>
      <c r="O4" s="664"/>
      <c r="P4" s="664"/>
      <c r="Q4" s="665"/>
    </row>
    <row r="5" spans="1:17" ht="7.5" customHeight="1">
      <c r="A5" s="663"/>
      <c r="B5" s="664"/>
      <c r="C5" s="664"/>
      <c r="D5" s="664"/>
      <c r="E5" s="664"/>
      <c r="F5" s="664"/>
      <c r="G5" s="664"/>
      <c r="H5" s="664"/>
      <c r="I5" s="664"/>
      <c r="J5" s="664"/>
      <c r="K5" s="664"/>
      <c r="L5" s="664"/>
      <c r="M5" s="664"/>
      <c r="N5" s="664"/>
      <c r="O5" s="664"/>
      <c r="P5" s="664"/>
      <c r="Q5" s="665"/>
    </row>
    <row r="6" spans="1:17" ht="7.5" customHeight="1">
      <c r="A6" s="663"/>
      <c r="B6" s="664"/>
      <c r="C6" s="664"/>
      <c r="D6" s="664"/>
      <c r="E6" s="664"/>
      <c r="F6" s="664"/>
      <c r="G6" s="664"/>
      <c r="H6" s="664"/>
      <c r="I6" s="664"/>
      <c r="J6" s="664"/>
      <c r="K6" s="664"/>
      <c r="L6" s="664"/>
      <c r="M6" s="664"/>
      <c r="N6" s="664"/>
      <c r="O6" s="664"/>
      <c r="P6" s="664"/>
      <c r="Q6" s="665"/>
    </row>
    <row r="7" spans="1:17" ht="7.5" customHeight="1">
      <c r="A7" s="663"/>
      <c r="B7" s="664"/>
      <c r="C7" s="664"/>
      <c r="D7" s="664"/>
      <c r="E7" s="664"/>
      <c r="F7" s="664"/>
      <c r="G7" s="664"/>
      <c r="H7" s="664"/>
      <c r="I7" s="664"/>
      <c r="J7" s="664"/>
      <c r="K7" s="664"/>
      <c r="L7" s="664"/>
      <c r="M7" s="664"/>
      <c r="N7" s="664"/>
      <c r="O7" s="664"/>
      <c r="P7" s="664"/>
      <c r="Q7" s="665"/>
    </row>
    <row r="8" spans="1:17" ht="7.5" customHeight="1">
      <c r="A8" s="663"/>
      <c r="B8" s="664"/>
      <c r="C8" s="664"/>
      <c r="D8" s="664"/>
      <c r="E8" s="664"/>
      <c r="F8" s="664"/>
      <c r="G8" s="664"/>
      <c r="H8" s="664"/>
      <c r="I8" s="664"/>
      <c r="J8" s="664"/>
      <c r="K8" s="664"/>
      <c r="L8" s="664"/>
      <c r="M8" s="664"/>
      <c r="N8" s="664"/>
      <c r="O8" s="664"/>
      <c r="P8" s="664"/>
      <c r="Q8" s="665"/>
    </row>
    <row r="9" spans="1:17" ht="7.5" customHeight="1">
      <c r="A9" s="663"/>
      <c r="B9" s="664"/>
      <c r="C9" s="664"/>
      <c r="D9" s="664"/>
      <c r="E9" s="664"/>
      <c r="F9" s="664"/>
      <c r="G9" s="664"/>
      <c r="H9" s="664"/>
      <c r="I9" s="664"/>
      <c r="J9" s="664"/>
      <c r="K9" s="664"/>
      <c r="L9" s="664"/>
      <c r="M9" s="664"/>
      <c r="N9" s="664"/>
      <c r="O9" s="664"/>
      <c r="P9" s="664"/>
      <c r="Q9" s="665"/>
    </row>
    <row r="10" spans="1:17" ht="7.5" customHeight="1">
      <c r="A10" s="663"/>
      <c r="B10" s="664"/>
      <c r="C10" s="664"/>
      <c r="D10" s="664"/>
      <c r="E10" s="664"/>
      <c r="F10" s="664"/>
      <c r="G10" s="664"/>
      <c r="H10" s="664"/>
      <c r="I10" s="664"/>
      <c r="J10" s="664"/>
      <c r="K10" s="664"/>
      <c r="L10" s="664"/>
      <c r="M10" s="664"/>
      <c r="N10" s="664"/>
      <c r="O10" s="664"/>
      <c r="P10" s="664"/>
      <c r="Q10" s="665"/>
    </row>
    <row r="11" spans="1:17" ht="7.5" customHeight="1">
      <c r="A11" s="663"/>
      <c r="B11" s="664"/>
      <c r="C11" s="664"/>
      <c r="D11" s="664"/>
      <c r="E11" s="664"/>
      <c r="F11" s="664"/>
      <c r="G11" s="664"/>
      <c r="H11" s="664"/>
      <c r="I11" s="664"/>
      <c r="J11" s="664"/>
      <c r="K11" s="664"/>
      <c r="L11" s="664"/>
      <c r="M11" s="664"/>
      <c r="N11" s="664"/>
      <c r="O11" s="664"/>
      <c r="P11" s="664"/>
      <c r="Q11" s="665"/>
    </row>
    <row r="12" spans="1:17" ht="7.5" customHeight="1">
      <c r="A12" s="663"/>
      <c r="B12" s="664"/>
      <c r="C12" s="664"/>
      <c r="D12" s="664"/>
      <c r="E12" s="664"/>
      <c r="F12" s="664"/>
      <c r="G12" s="664"/>
      <c r="H12" s="664"/>
      <c r="I12" s="664"/>
      <c r="J12" s="664"/>
      <c r="K12" s="664"/>
      <c r="L12" s="664"/>
      <c r="M12" s="664"/>
      <c r="N12" s="664"/>
      <c r="O12" s="664"/>
      <c r="P12" s="664"/>
      <c r="Q12" s="665"/>
    </row>
    <row r="13" spans="1:17" ht="7.5" customHeight="1">
      <c r="A13" s="663"/>
      <c r="B13" s="664"/>
      <c r="C13" s="664"/>
      <c r="D13" s="664"/>
      <c r="E13" s="664"/>
      <c r="F13" s="664"/>
      <c r="G13" s="664"/>
      <c r="H13" s="664"/>
      <c r="I13" s="664"/>
      <c r="J13" s="664"/>
      <c r="K13" s="664"/>
      <c r="L13" s="664"/>
      <c r="M13" s="664"/>
      <c r="N13" s="664"/>
      <c r="O13" s="664"/>
      <c r="P13" s="664"/>
      <c r="Q13" s="665"/>
    </row>
    <row r="14" spans="1:17" ht="7.5" customHeight="1">
      <c r="A14" s="663"/>
      <c r="B14" s="664"/>
      <c r="C14" s="664"/>
      <c r="D14" s="664"/>
      <c r="E14" s="664"/>
      <c r="F14" s="664"/>
      <c r="G14" s="664"/>
      <c r="H14" s="664"/>
      <c r="I14" s="664"/>
      <c r="J14" s="664"/>
      <c r="K14" s="664"/>
      <c r="L14" s="664"/>
      <c r="M14" s="664"/>
      <c r="N14" s="664"/>
      <c r="O14" s="664"/>
      <c r="P14" s="664"/>
      <c r="Q14" s="665"/>
    </row>
    <row r="15" spans="1:17" ht="7.5" customHeight="1">
      <c r="A15" s="663"/>
      <c r="B15" s="664"/>
      <c r="C15" s="664"/>
      <c r="D15" s="664"/>
      <c r="E15" s="664"/>
      <c r="F15" s="664"/>
      <c r="G15" s="664"/>
      <c r="H15" s="664"/>
      <c r="I15" s="664"/>
      <c r="J15" s="664"/>
      <c r="K15" s="664"/>
      <c r="L15" s="664"/>
      <c r="M15" s="664"/>
      <c r="N15" s="664"/>
      <c r="O15" s="664"/>
      <c r="P15" s="664"/>
      <c r="Q15" s="665"/>
    </row>
    <row r="16" spans="1:17" ht="7.5" customHeight="1">
      <c r="A16" s="663"/>
      <c r="B16" s="664"/>
      <c r="C16" s="664"/>
      <c r="D16" s="664"/>
      <c r="E16" s="664"/>
      <c r="F16" s="664"/>
      <c r="G16" s="664"/>
      <c r="H16" s="664"/>
      <c r="I16" s="664"/>
      <c r="J16" s="664"/>
      <c r="K16" s="664"/>
      <c r="L16" s="664"/>
      <c r="M16" s="664"/>
      <c r="N16" s="664"/>
      <c r="O16" s="664"/>
      <c r="P16" s="664"/>
      <c r="Q16" s="665"/>
    </row>
    <row r="17" spans="1:17" ht="7.5" customHeight="1">
      <c r="A17" s="663"/>
      <c r="B17" s="664"/>
      <c r="C17" s="664"/>
      <c r="D17" s="664"/>
      <c r="E17" s="664"/>
      <c r="F17" s="664"/>
      <c r="G17" s="664"/>
      <c r="H17" s="664"/>
      <c r="I17" s="664"/>
      <c r="J17" s="664"/>
      <c r="K17" s="664"/>
      <c r="L17" s="664"/>
      <c r="M17" s="664"/>
      <c r="N17" s="664"/>
      <c r="O17" s="664"/>
      <c r="P17" s="664"/>
      <c r="Q17" s="665"/>
    </row>
    <row r="18" spans="1:17" ht="7.5" customHeight="1">
      <c r="A18" s="663"/>
      <c r="B18" s="664"/>
      <c r="C18" s="664"/>
      <c r="D18" s="664"/>
      <c r="E18" s="664"/>
      <c r="F18" s="664"/>
      <c r="G18" s="664"/>
      <c r="H18" s="664"/>
      <c r="I18" s="664"/>
      <c r="J18" s="664"/>
      <c r="K18" s="664"/>
      <c r="L18" s="664"/>
      <c r="M18" s="664"/>
      <c r="N18" s="664"/>
      <c r="O18" s="664"/>
      <c r="P18" s="664"/>
      <c r="Q18" s="665"/>
    </row>
    <row r="19" spans="1:17" ht="7.5" customHeight="1">
      <c r="A19" s="663"/>
      <c r="B19" s="664"/>
      <c r="C19" s="664"/>
      <c r="D19" s="664"/>
      <c r="E19" s="664"/>
      <c r="F19" s="664"/>
      <c r="G19" s="664"/>
      <c r="H19" s="664"/>
      <c r="I19" s="664"/>
      <c r="J19" s="664"/>
      <c r="K19" s="664"/>
      <c r="L19" s="664"/>
      <c r="M19" s="664"/>
      <c r="N19" s="664"/>
      <c r="O19" s="664"/>
      <c r="P19" s="664"/>
      <c r="Q19" s="665"/>
    </row>
    <row r="20" spans="1:17" ht="7.5" customHeight="1">
      <c r="A20" s="663"/>
      <c r="B20" s="664"/>
      <c r="C20" s="664"/>
      <c r="D20" s="664"/>
      <c r="E20" s="664"/>
      <c r="F20" s="664"/>
      <c r="G20" s="664"/>
      <c r="H20" s="664"/>
      <c r="I20" s="664"/>
      <c r="J20" s="664"/>
      <c r="K20" s="664"/>
      <c r="L20" s="664"/>
      <c r="M20" s="664"/>
      <c r="N20" s="664"/>
      <c r="O20" s="664"/>
      <c r="P20" s="664"/>
      <c r="Q20" s="665"/>
    </row>
    <row r="21" spans="1:17" ht="7.5" customHeight="1">
      <c r="A21" s="663"/>
      <c r="B21" s="664"/>
      <c r="C21" s="664"/>
      <c r="D21" s="664"/>
      <c r="E21" s="664"/>
      <c r="F21" s="664"/>
      <c r="G21" s="664"/>
      <c r="H21" s="664"/>
      <c r="I21" s="664"/>
      <c r="J21" s="664"/>
      <c r="K21" s="664"/>
      <c r="L21" s="664"/>
      <c r="M21" s="664"/>
      <c r="N21" s="664"/>
      <c r="O21" s="664"/>
      <c r="P21" s="664"/>
      <c r="Q21" s="665"/>
    </row>
    <row r="22" spans="1:17" ht="7.5" customHeight="1">
      <c r="A22" s="663"/>
      <c r="B22" s="664"/>
      <c r="C22" s="664"/>
      <c r="D22" s="664"/>
      <c r="E22" s="664"/>
      <c r="F22" s="664"/>
      <c r="G22" s="664"/>
      <c r="H22" s="664"/>
      <c r="I22" s="664"/>
      <c r="J22" s="664"/>
      <c r="K22" s="664"/>
      <c r="L22" s="664"/>
      <c r="M22" s="664"/>
      <c r="N22" s="664"/>
      <c r="O22" s="664"/>
      <c r="P22" s="664"/>
      <c r="Q22" s="665"/>
    </row>
    <row r="23" spans="1:17" ht="7.5" customHeight="1">
      <c r="A23" s="663"/>
      <c r="B23" s="664"/>
      <c r="C23" s="664"/>
      <c r="D23" s="664"/>
      <c r="E23" s="664"/>
      <c r="F23" s="664"/>
      <c r="G23" s="664"/>
      <c r="H23" s="664"/>
      <c r="I23" s="664"/>
      <c r="J23" s="664"/>
      <c r="K23" s="664"/>
      <c r="L23" s="664"/>
      <c r="M23" s="664"/>
      <c r="N23" s="664"/>
      <c r="O23" s="664"/>
      <c r="P23" s="664"/>
      <c r="Q23" s="665"/>
    </row>
    <row r="24" spans="1:17" ht="7.5" customHeight="1">
      <c r="A24" s="663"/>
      <c r="B24" s="664"/>
      <c r="C24" s="664"/>
      <c r="D24" s="664"/>
      <c r="E24" s="664"/>
      <c r="F24" s="664"/>
      <c r="G24" s="664"/>
      <c r="H24" s="664"/>
      <c r="I24" s="664"/>
      <c r="J24" s="664"/>
      <c r="K24" s="664"/>
      <c r="L24" s="664"/>
      <c r="M24" s="664"/>
      <c r="N24" s="664"/>
      <c r="O24" s="664"/>
      <c r="P24" s="664"/>
      <c r="Q24" s="665"/>
    </row>
    <row r="25" spans="1:17" ht="7.5" customHeight="1" thickBot="1">
      <c r="A25" s="666"/>
      <c r="B25" s="667"/>
      <c r="C25" s="667"/>
      <c r="D25" s="667"/>
      <c r="E25" s="667"/>
      <c r="F25" s="667"/>
      <c r="G25" s="667"/>
      <c r="H25" s="667"/>
      <c r="I25" s="667"/>
      <c r="J25" s="667"/>
      <c r="K25" s="667"/>
      <c r="L25" s="667"/>
      <c r="M25" s="667"/>
      <c r="N25" s="667"/>
      <c r="O25" s="667"/>
      <c r="P25" s="667"/>
      <c r="Q25" s="668"/>
    </row>
  </sheetData>
  <sheetProtection selectLockedCells="1" selectUnlockedCells="1"/>
  <mergeCells count="1">
    <mergeCell ref="A1:Q25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9" r:id="rId4" name="Przycisk 3">
              <controlPr defaultSize="0" print="0" autoFill="0" autoPict="0" macro="[0]!onnen">
                <anchor moveWithCells="1" sizeWithCells="1">
                  <from>
                    <xdr:col>0</xdr:col>
                    <xdr:colOff>0</xdr:colOff>
                    <xdr:row>23</xdr:row>
                    <xdr:rowOff>7620</xdr:rowOff>
                  </from>
                  <to>
                    <xdr:col>1</xdr:col>
                    <xdr:colOff>30480</xdr:colOff>
                    <xdr:row>24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>
    <tabColor theme="0" tint="-0.14999847407452621"/>
  </sheetPr>
  <dimension ref="A1:AH130"/>
  <sheetViews>
    <sheetView workbookViewId="0">
      <selection activeCell="I12" sqref="I12"/>
    </sheetView>
  </sheetViews>
  <sheetFormatPr defaultColWidth="9.109375" defaultRowHeight="13.2"/>
  <cols>
    <col min="1" max="1" width="14.44140625" style="72" bestFit="1" customWidth="1"/>
    <col min="2" max="2" width="0.44140625" style="111" customWidth="1"/>
    <col min="3" max="3" width="9.109375" style="72"/>
    <col min="4" max="4" width="0.44140625" style="111" customWidth="1"/>
    <col min="5" max="5" width="13.88671875" style="72" customWidth="1"/>
    <col min="6" max="6" width="0.44140625" style="111" customWidth="1"/>
    <col min="7" max="7" width="23.109375" style="72" bestFit="1" customWidth="1"/>
    <col min="8" max="8" width="0.44140625" style="111" customWidth="1"/>
    <col min="9" max="9" width="24.44140625" style="72" customWidth="1"/>
    <col min="10" max="10" width="0.44140625" style="111" customWidth="1"/>
    <col min="11" max="11" width="11" style="72" bestFit="1" customWidth="1"/>
    <col min="12" max="12" width="0.44140625" style="111" customWidth="1"/>
    <col min="13" max="13" width="23.109375" style="72" bestFit="1" customWidth="1"/>
    <col min="14" max="14" width="0.44140625" style="111" customWidth="1"/>
    <col min="15" max="15" width="15.109375" style="72" bestFit="1" customWidth="1"/>
    <col min="16" max="16" width="0.44140625" style="111" customWidth="1"/>
    <col min="17" max="17" width="16" style="72" customWidth="1"/>
    <col min="18" max="18" width="0.44140625" style="111" customWidth="1"/>
    <col min="19" max="19" width="9.109375" style="72"/>
    <col min="20" max="20" width="32.44140625" style="72" customWidth="1"/>
    <col min="21" max="21" width="11.6640625" style="72" bestFit="1" customWidth="1"/>
    <col min="22" max="22" width="9.109375" style="72"/>
    <col min="23" max="23" width="75.6640625" style="72" customWidth="1"/>
    <col min="24" max="24" width="11.88671875" style="72" customWidth="1"/>
    <col min="25" max="25" width="16.5546875" style="72" customWidth="1"/>
    <col min="26" max="26" width="9.109375" style="72"/>
    <col min="27" max="27" width="0.44140625" style="111" customWidth="1"/>
    <col min="28" max="28" width="8.88671875"/>
    <col min="29" max="29" width="91.109375" style="72" customWidth="1"/>
    <col min="30" max="30" width="9.109375" style="72"/>
    <col min="31" max="31" width="0.44140625" style="111" customWidth="1"/>
    <col min="32" max="32" width="9.109375" style="72"/>
    <col min="33" max="33" width="83.88671875" style="72" bestFit="1" customWidth="1"/>
    <col min="34" max="34" width="15.109375" style="72" bestFit="1" customWidth="1"/>
    <col min="35" max="16384" width="9.109375" style="72"/>
  </cols>
  <sheetData>
    <row r="1" spans="1:34">
      <c r="I1" s="72" t="s">
        <v>1018</v>
      </c>
      <c r="Q1" s="115" t="s">
        <v>2271</v>
      </c>
      <c r="T1" s="123" t="s">
        <v>2274</v>
      </c>
      <c r="U1" s="124" t="s">
        <v>2277</v>
      </c>
      <c r="W1" s="131" t="s">
        <v>2182</v>
      </c>
      <c r="X1" s="131" t="s">
        <v>1931</v>
      </c>
      <c r="Y1" s="131" t="s">
        <v>2206</v>
      </c>
      <c r="AG1" s="72" t="s">
        <v>2406</v>
      </c>
      <c r="AH1" s="72" t="s">
        <v>2407</v>
      </c>
    </row>
    <row r="2" spans="1:34" ht="12.75" customHeight="1" thickBot="1">
      <c r="A2" s="100"/>
      <c r="B2" s="112"/>
      <c r="C2" s="101" t="s">
        <v>1039</v>
      </c>
      <c r="D2" s="112"/>
      <c r="E2" s="101" t="s">
        <v>1704</v>
      </c>
      <c r="F2" s="112"/>
      <c r="G2" s="102" t="s">
        <v>1718</v>
      </c>
      <c r="H2" s="112"/>
      <c r="I2" s="72" t="s">
        <v>1706</v>
      </c>
      <c r="J2" s="112"/>
      <c r="K2" s="72" t="s">
        <v>2202</v>
      </c>
      <c r="L2" s="112"/>
      <c r="M2" s="72" t="s">
        <v>2250</v>
      </c>
      <c r="N2" s="112"/>
      <c r="O2" s="72" t="s">
        <v>2206</v>
      </c>
      <c r="P2" s="112"/>
      <c r="Q2" s="115" t="s">
        <v>2272</v>
      </c>
      <c r="R2" s="112"/>
      <c r="T2" s="125" t="s">
        <v>2275</v>
      </c>
      <c r="U2" s="126" t="s">
        <v>2277</v>
      </c>
      <c r="W2" s="131" t="s">
        <v>2338</v>
      </c>
      <c r="X2" s="73" t="s">
        <v>1931</v>
      </c>
      <c r="Y2" s="73" t="s">
        <v>1930</v>
      </c>
      <c r="AA2" s="112"/>
      <c r="AC2" s="136" t="s">
        <v>2226</v>
      </c>
      <c r="AE2" s="112"/>
      <c r="AG2" s="131" t="s">
        <v>2338</v>
      </c>
    </row>
    <row r="3" spans="1:34" ht="12.75" customHeight="1">
      <c r="A3" s="100" t="s">
        <v>1716</v>
      </c>
      <c r="B3" s="113"/>
      <c r="C3" s="101" t="s">
        <v>1038</v>
      </c>
      <c r="D3" s="113"/>
      <c r="E3" s="101" t="s">
        <v>1705</v>
      </c>
      <c r="F3" s="113"/>
      <c r="G3" s="102" t="s">
        <v>1719</v>
      </c>
      <c r="H3" s="113"/>
      <c r="I3" s="72" t="s">
        <v>1021</v>
      </c>
      <c r="J3" s="113"/>
      <c r="K3" s="72" t="s">
        <v>2168</v>
      </c>
      <c r="L3" s="113"/>
      <c r="M3" s="72" t="s">
        <v>2251</v>
      </c>
      <c r="N3" s="113"/>
      <c r="O3" s="72" t="s">
        <v>1931</v>
      </c>
      <c r="P3" s="113"/>
      <c r="Q3" s="115"/>
      <c r="R3" s="113"/>
      <c r="S3" s="116"/>
      <c r="T3" s="123" t="s">
        <v>2226</v>
      </c>
      <c r="U3" s="124" t="s">
        <v>2155</v>
      </c>
      <c r="W3" s="131" t="s">
        <v>2242</v>
      </c>
      <c r="X3" s="73" t="s">
        <v>1931</v>
      </c>
      <c r="Y3" s="73" t="s">
        <v>1930</v>
      </c>
      <c r="AA3" s="113"/>
      <c r="AC3" s="136" t="s">
        <v>2227</v>
      </c>
      <c r="AE3" s="113"/>
      <c r="AG3" s="131" t="s">
        <v>2242</v>
      </c>
    </row>
    <row r="4" spans="1:34" ht="12.75" customHeight="1">
      <c r="A4" s="100" t="s">
        <v>1711</v>
      </c>
      <c r="B4" s="114"/>
      <c r="C4" s="101" t="s">
        <v>1034</v>
      </c>
      <c r="D4" s="114"/>
      <c r="F4" s="114"/>
      <c r="G4" s="102" t="s">
        <v>1720</v>
      </c>
      <c r="H4" s="114"/>
      <c r="I4" s="72" t="s">
        <v>1022</v>
      </c>
      <c r="J4" s="114"/>
      <c r="K4" s="72" t="s">
        <v>1031</v>
      </c>
      <c r="L4" s="114"/>
      <c r="M4" s="72" t="s">
        <v>2175</v>
      </c>
      <c r="N4" s="114"/>
      <c r="P4" s="114"/>
      <c r="Q4" s="115"/>
      <c r="R4" s="114"/>
      <c r="S4" s="116"/>
      <c r="T4" s="127" t="s">
        <v>2227</v>
      </c>
      <c r="U4" s="128" t="s">
        <v>2155</v>
      </c>
      <c r="W4" s="131" t="s">
        <v>2281</v>
      </c>
      <c r="X4" s="73" t="s">
        <v>1931</v>
      </c>
      <c r="Y4" s="73" t="s">
        <v>1930</v>
      </c>
      <c r="AA4" s="114"/>
      <c r="AC4" s="136" t="s">
        <v>2228</v>
      </c>
      <c r="AE4" s="114"/>
      <c r="AG4" s="131" t="s">
        <v>2281</v>
      </c>
    </row>
    <row r="5" spans="1:34" ht="12.75" customHeight="1">
      <c r="A5" s="100" t="s">
        <v>1713</v>
      </c>
      <c r="B5" s="114"/>
      <c r="C5" s="101" t="s">
        <v>1033</v>
      </c>
      <c r="D5" s="114"/>
      <c r="F5" s="114"/>
      <c r="G5" s="102" t="s">
        <v>1721</v>
      </c>
      <c r="H5" s="114"/>
      <c r="I5" s="72" t="s">
        <v>1024</v>
      </c>
      <c r="J5" s="114"/>
      <c r="L5" s="114"/>
      <c r="M5" s="72" t="s">
        <v>2265</v>
      </c>
      <c r="N5" s="114"/>
      <c r="P5" s="114"/>
      <c r="Q5" s="115"/>
      <c r="R5" s="114"/>
      <c r="S5" s="116"/>
      <c r="T5" s="127" t="s">
        <v>2323</v>
      </c>
      <c r="U5" s="128" t="s">
        <v>2155</v>
      </c>
      <c r="W5" s="131" t="s">
        <v>2241</v>
      </c>
      <c r="X5" s="73"/>
      <c r="Y5" s="73" t="s">
        <v>2155</v>
      </c>
      <c r="AA5" s="114"/>
      <c r="AC5" s="136" t="s">
        <v>2361</v>
      </c>
      <c r="AE5" s="114"/>
      <c r="AG5" s="131" t="s">
        <v>2241</v>
      </c>
    </row>
    <row r="6" spans="1:34" ht="12.75" customHeight="1">
      <c r="A6" s="100" t="s">
        <v>1712</v>
      </c>
      <c r="B6" s="114"/>
      <c r="C6" s="104" t="s">
        <v>2208</v>
      </c>
      <c r="D6" s="114"/>
      <c r="F6" s="114"/>
      <c r="G6" s="102" t="s">
        <v>1722</v>
      </c>
      <c r="H6" s="114"/>
      <c r="I6" s="72" t="s">
        <v>1020</v>
      </c>
      <c r="J6" s="114"/>
      <c r="L6" s="114"/>
      <c r="N6" s="114"/>
      <c r="P6" s="114"/>
      <c r="Q6" s="115"/>
      <c r="R6" s="114"/>
      <c r="S6" s="116"/>
      <c r="T6" s="127" t="s">
        <v>2229</v>
      </c>
      <c r="U6" s="128" t="s">
        <v>2155</v>
      </c>
      <c r="W6" s="131" t="s">
        <v>2311</v>
      </c>
      <c r="X6" s="73"/>
      <c r="Y6" s="73" t="s">
        <v>2155</v>
      </c>
      <c r="AA6" s="114"/>
      <c r="AC6" s="137" t="s">
        <v>2360</v>
      </c>
      <c r="AE6" s="114"/>
      <c r="AG6" s="131" t="s">
        <v>2311</v>
      </c>
    </row>
    <row r="7" spans="1:34" ht="12" customHeight="1">
      <c r="A7" s="100" t="s">
        <v>1714</v>
      </c>
      <c r="B7" s="114"/>
      <c r="D7" s="114"/>
      <c r="F7" s="114"/>
      <c r="G7" s="102" t="s">
        <v>1723</v>
      </c>
      <c r="H7" s="114"/>
      <c r="I7" s="72" t="s">
        <v>1019</v>
      </c>
      <c r="J7" s="114"/>
      <c r="L7" s="114"/>
      <c r="N7" s="114"/>
      <c r="P7" s="114"/>
      <c r="Q7" s="115"/>
      <c r="R7" s="114"/>
      <c r="S7" s="116"/>
      <c r="T7" s="127" t="s">
        <v>2230</v>
      </c>
      <c r="U7" s="128" t="s">
        <v>2155</v>
      </c>
      <c r="W7" s="131" t="s">
        <v>2298</v>
      </c>
      <c r="X7" s="73" t="s">
        <v>1931</v>
      </c>
      <c r="Y7" s="73" t="s">
        <v>1930</v>
      </c>
      <c r="AA7" s="114"/>
      <c r="AC7" s="136" t="s">
        <v>2305</v>
      </c>
      <c r="AE7" s="114"/>
      <c r="AG7" s="131" t="s">
        <v>2298</v>
      </c>
    </row>
    <row r="8" spans="1:34" ht="12" customHeight="1">
      <c r="A8" s="100" t="s">
        <v>1710</v>
      </c>
      <c r="B8" s="114"/>
      <c r="D8" s="114"/>
      <c r="F8" s="114"/>
      <c r="G8" s="102" t="s">
        <v>1724</v>
      </c>
      <c r="H8" s="114"/>
      <c r="I8" s="72" t="s">
        <v>1023</v>
      </c>
      <c r="J8" s="114"/>
      <c r="L8" s="114"/>
      <c r="N8" s="114"/>
      <c r="P8" s="114"/>
      <c r="Q8" s="115"/>
      <c r="R8" s="114"/>
      <c r="S8" s="116"/>
      <c r="T8" s="127" t="s">
        <v>2324</v>
      </c>
      <c r="U8" s="128" t="s">
        <v>2155</v>
      </c>
      <c r="W8" s="131" t="s">
        <v>2330</v>
      </c>
      <c r="X8" s="73"/>
      <c r="Y8" s="73" t="s">
        <v>2155</v>
      </c>
      <c r="AA8" s="114"/>
      <c r="AC8" s="136" t="s">
        <v>2327</v>
      </c>
      <c r="AE8" s="114"/>
      <c r="AG8" s="131" t="s">
        <v>2330</v>
      </c>
    </row>
    <row r="9" spans="1:34" ht="12.75" customHeight="1">
      <c r="A9" s="100" t="s">
        <v>1715</v>
      </c>
      <c r="B9" s="114"/>
      <c r="D9" s="114"/>
      <c r="F9" s="114"/>
      <c r="G9" s="102" t="s">
        <v>1725</v>
      </c>
      <c r="H9" s="114"/>
      <c r="I9" s="72" t="s">
        <v>2209</v>
      </c>
      <c r="J9" s="114"/>
      <c r="L9" s="114"/>
      <c r="M9" s="72" t="s">
        <v>2466</v>
      </c>
      <c r="N9" s="114"/>
      <c r="O9" s="72" t="s">
        <v>2551</v>
      </c>
      <c r="P9" s="114"/>
      <c r="R9" s="114"/>
      <c r="S9" s="116"/>
      <c r="T9" s="127" t="s">
        <v>2325</v>
      </c>
      <c r="U9" s="128" t="s">
        <v>2155</v>
      </c>
      <c r="W9" s="131" t="s">
        <v>2240</v>
      </c>
      <c r="X9" s="73"/>
      <c r="Y9" s="73" t="s">
        <v>2155</v>
      </c>
      <c r="AA9" s="114"/>
      <c r="AC9" s="136" t="s">
        <v>2324</v>
      </c>
      <c r="AE9" s="114"/>
      <c r="AG9" s="131" t="s">
        <v>2240</v>
      </c>
    </row>
    <row r="10" spans="1:34" ht="12.75" customHeight="1">
      <c r="A10" s="100" t="s">
        <v>2525</v>
      </c>
      <c r="B10" s="114"/>
      <c r="D10" s="114"/>
      <c r="F10" s="114"/>
      <c r="G10" s="102" t="s">
        <v>1726</v>
      </c>
      <c r="H10" s="114"/>
      <c r="I10" s="72" t="s">
        <v>2259</v>
      </c>
      <c r="J10" s="114"/>
      <c r="L10" s="114"/>
      <c r="M10" s="72" t="s">
        <v>2470</v>
      </c>
      <c r="N10" s="114"/>
      <c r="O10" s="72" t="s">
        <v>2552</v>
      </c>
      <c r="P10" s="114"/>
      <c r="R10" s="114"/>
      <c r="S10" s="116"/>
      <c r="T10" s="127" t="s">
        <v>2233</v>
      </c>
      <c r="U10" s="128" t="s">
        <v>2155</v>
      </c>
      <c r="W10" s="131" t="s">
        <v>2336</v>
      </c>
      <c r="X10" s="73"/>
      <c r="Y10" s="73" t="s">
        <v>2155</v>
      </c>
      <c r="AA10" s="114"/>
      <c r="AC10" s="136" t="s">
        <v>2229</v>
      </c>
      <c r="AE10" s="114"/>
      <c r="AG10" s="131" t="s">
        <v>2336</v>
      </c>
    </row>
    <row r="11" spans="1:34" ht="12.75" customHeight="1">
      <c r="B11" s="114"/>
      <c r="D11" s="114"/>
      <c r="F11" s="114"/>
      <c r="G11" s="102" t="s">
        <v>1727</v>
      </c>
      <c r="H11" s="114"/>
      <c r="I11" s="72" t="s">
        <v>2260</v>
      </c>
      <c r="J11" s="114"/>
      <c r="L11" s="114"/>
      <c r="M11" s="72" t="s">
        <v>2468</v>
      </c>
      <c r="N11" s="114"/>
      <c r="O11" s="72" t="s">
        <v>2553</v>
      </c>
      <c r="P11" s="114"/>
      <c r="R11" s="114"/>
      <c r="S11" s="116"/>
      <c r="T11" s="127" t="s">
        <v>2237</v>
      </c>
      <c r="U11" s="128" t="s">
        <v>2155</v>
      </c>
      <c r="W11" s="131" t="s">
        <v>2233</v>
      </c>
      <c r="X11" s="73"/>
      <c r="Y11" s="73" t="s">
        <v>2155</v>
      </c>
      <c r="AA11" s="114"/>
      <c r="AC11" s="136"/>
      <c r="AE11" s="114"/>
      <c r="AG11" s="131" t="s">
        <v>2233</v>
      </c>
    </row>
    <row r="12" spans="1:34" ht="12.75" customHeight="1">
      <c r="B12" s="114"/>
      <c r="D12" s="114"/>
      <c r="F12" s="114"/>
      <c r="G12" s="102" t="s">
        <v>1728</v>
      </c>
      <c r="H12" s="114"/>
      <c r="I12" s="72" t="s">
        <v>2353</v>
      </c>
      <c r="J12" s="114"/>
      <c r="L12" s="114"/>
      <c r="M12" s="72" t="s">
        <v>2265</v>
      </c>
      <c r="N12" s="114"/>
      <c r="O12" s="72" t="s">
        <v>2554</v>
      </c>
      <c r="P12" s="114"/>
      <c r="R12" s="114"/>
      <c r="S12" s="116"/>
      <c r="T12" s="127" t="s">
        <v>2238</v>
      </c>
      <c r="U12" s="128" t="s">
        <v>2155</v>
      </c>
      <c r="W12" s="131" t="s">
        <v>2210</v>
      </c>
      <c r="X12" s="73" t="s">
        <v>1931</v>
      </c>
      <c r="Y12" s="73" t="s">
        <v>1930</v>
      </c>
      <c r="AA12" s="114"/>
      <c r="AE12" s="114"/>
      <c r="AG12" s="131" t="s">
        <v>2210</v>
      </c>
    </row>
    <row r="13" spans="1:34" ht="12.75" customHeight="1">
      <c r="G13" s="102" t="s">
        <v>1729</v>
      </c>
      <c r="O13" s="72" t="s">
        <v>2555</v>
      </c>
      <c r="S13" s="116"/>
      <c r="T13" s="127" t="s">
        <v>2239</v>
      </c>
      <c r="U13" s="128" t="s">
        <v>2155</v>
      </c>
      <c r="W13" s="131" t="s">
        <v>2278</v>
      </c>
      <c r="X13" s="73" t="s">
        <v>1931</v>
      </c>
      <c r="Y13" s="73" t="s">
        <v>1930</v>
      </c>
      <c r="AG13" s="131" t="s">
        <v>2278</v>
      </c>
    </row>
    <row r="14" spans="1:34">
      <c r="A14" s="100"/>
      <c r="G14" s="102" t="s">
        <v>1730</v>
      </c>
      <c r="O14" s="72" t="s">
        <v>2556</v>
      </c>
      <c r="S14" s="116"/>
      <c r="T14" s="127" t="s">
        <v>2326</v>
      </c>
      <c r="U14" s="128" t="s">
        <v>2155</v>
      </c>
      <c r="W14" s="131" t="s">
        <v>2329</v>
      </c>
      <c r="X14" s="73"/>
      <c r="Y14" s="73" t="s">
        <v>2155</v>
      </c>
      <c r="AC14"/>
      <c r="AG14" s="131" t="s">
        <v>2329</v>
      </c>
    </row>
    <row r="15" spans="1:34">
      <c r="A15" s="100"/>
      <c r="M15" s="72" t="s">
        <v>2494</v>
      </c>
      <c r="O15" s="72" t="s">
        <v>2557</v>
      </c>
      <c r="S15" s="116"/>
      <c r="T15" s="127" t="s">
        <v>2327</v>
      </c>
      <c r="U15" s="128" t="s">
        <v>2155</v>
      </c>
      <c r="W15" s="131" t="s">
        <v>2339</v>
      </c>
      <c r="X15" s="73" t="s">
        <v>1931</v>
      </c>
      <c r="Y15" s="73" t="s">
        <v>1930</v>
      </c>
      <c r="AG15" s="131" t="s">
        <v>2339</v>
      </c>
    </row>
    <row r="16" spans="1:34">
      <c r="A16" s="103"/>
      <c r="M16" s="72" t="s">
        <v>2206</v>
      </c>
      <c r="O16" s="72" t="s">
        <v>2558</v>
      </c>
      <c r="S16" s="116"/>
      <c r="T16" s="127" t="s">
        <v>2328</v>
      </c>
      <c r="U16" s="128" t="s">
        <v>2155</v>
      </c>
      <c r="W16" s="131" t="s">
        <v>2221</v>
      </c>
      <c r="X16" s="73" t="s">
        <v>1931</v>
      </c>
      <c r="Y16" s="73" t="s">
        <v>1930</v>
      </c>
      <c r="AG16" s="131" t="s">
        <v>2221</v>
      </c>
    </row>
    <row r="17" spans="1:33" ht="13.8" thickBot="1">
      <c r="A17" s="103"/>
      <c r="M17" s="72" t="s">
        <v>2482</v>
      </c>
      <c r="O17" s="72" t="s">
        <v>2559</v>
      </c>
      <c r="S17" s="116"/>
      <c r="T17" s="125" t="s">
        <v>2244</v>
      </c>
      <c r="U17" s="126" t="s">
        <v>2155</v>
      </c>
      <c r="W17" s="131" t="s">
        <v>2238</v>
      </c>
      <c r="X17" s="73"/>
      <c r="Y17" s="73" t="s">
        <v>2155</v>
      </c>
      <c r="AG17" s="131" t="s">
        <v>2238</v>
      </c>
    </row>
    <row r="18" spans="1:33" ht="13.8" thickBot="1">
      <c r="A18" s="103"/>
      <c r="O18" s="72" t="s">
        <v>2560</v>
      </c>
      <c r="T18" s="129" t="s">
        <v>2230</v>
      </c>
      <c r="U18" s="130" t="s">
        <v>2155</v>
      </c>
      <c r="W18" s="131" t="s">
        <v>2340</v>
      </c>
      <c r="X18" s="73"/>
      <c r="Y18" s="73" t="s">
        <v>2155</v>
      </c>
      <c r="AG18" s="131" t="s">
        <v>2340</v>
      </c>
    </row>
    <row r="19" spans="1:33">
      <c r="A19" s="100"/>
      <c r="M19" s="72" t="s">
        <v>2466</v>
      </c>
      <c r="O19" s="72" t="s">
        <v>2561</v>
      </c>
      <c r="T19" s="117" t="s">
        <v>2226</v>
      </c>
      <c r="U19" s="118" t="s">
        <v>2155</v>
      </c>
      <c r="W19" s="131" t="s">
        <v>2322</v>
      </c>
      <c r="X19" s="73" t="s">
        <v>1931</v>
      </c>
      <c r="Y19" s="73" t="s">
        <v>1930</v>
      </c>
      <c r="AG19" s="131" t="s">
        <v>2322</v>
      </c>
    </row>
    <row r="20" spans="1:33">
      <c r="A20" s="100"/>
      <c r="I20" s="72" t="s">
        <v>2673</v>
      </c>
      <c r="M20" s="72" t="s">
        <v>2470</v>
      </c>
      <c r="O20" s="72" t="s">
        <v>2562</v>
      </c>
      <c r="T20" s="119" t="s">
        <v>2227</v>
      </c>
      <c r="U20" s="120" t="s">
        <v>2155</v>
      </c>
      <c r="W20" s="131" t="s">
        <v>2341</v>
      </c>
      <c r="X20" s="73" t="s">
        <v>1931</v>
      </c>
      <c r="Y20" s="73" t="s">
        <v>1930</v>
      </c>
      <c r="AG20" s="131" t="s">
        <v>2341</v>
      </c>
    </row>
    <row r="21" spans="1:33">
      <c r="I21" s="72" t="s">
        <v>2349</v>
      </c>
      <c r="M21" s="72" t="s">
        <v>2468</v>
      </c>
      <c r="O21" s="72" t="s">
        <v>2563</v>
      </c>
      <c r="T21" s="119" t="s">
        <v>2228</v>
      </c>
      <c r="U21" s="120" t="s">
        <v>2155</v>
      </c>
      <c r="W21" s="131" t="s">
        <v>2333</v>
      </c>
      <c r="X21" s="73" t="s">
        <v>1931</v>
      </c>
      <c r="Y21" s="73" t="s">
        <v>1930</v>
      </c>
      <c r="AG21" s="131" t="s">
        <v>2333</v>
      </c>
    </row>
    <row r="22" spans="1:33">
      <c r="I22" s="72" t="s">
        <v>2354</v>
      </c>
      <c r="M22" s="72" t="s">
        <v>2265</v>
      </c>
      <c r="O22" s="72" t="s">
        <v>2564</v>
      </c>
      <c r="T22" s="119" t="s">
        <v>2229</v>
      </c>
      <c r="U22" s="120" t="s">
        <v>2155</v>
      </c>
      <c r="W22" s="131" t="s">
        <v>2279</v>
      </c>
      <c r="X22" s="73" t="s">
        <v>1931</v>
      </c>
      <c r="Y22" s="73" t="s">
        <v>1930</v>
      </c>
      <c r="AG22" s="131" t="s">
        <v>2279</v>
      </c>
    </row>
    <row r="23" spans="1:33">
      <c r="I23" s="72" t="s">
        <v>2355</v>
      </c>
      <c r="O23" s="72" t="s">
        <v>2565</v>
      </c>
      <c r="T23" s="119" t="s">
        <v>2230</v>
      </c>
      <c r="U23" s="120" t="s">
        <v>2155</v>
      </c>
      <c r="W23" s="131" t="s">
        <v>2225</v>
      </c>
      <c r="X23" s="73" t="s">
        <v>1931</v>
      </c>
      <c r="Y23" s="73" t="s">
        <v>1930</v>
      </c>
      <c r="AG23" s="131" t="s">
        <v>2225</v>
      </c>
    </row>
    <row r="24" spans="1:33" ht="13.8" thickBot="1">
      <c r="I24" s="72" t="s">
        <v>2353</v>
      </c>
      <c r="O24" s="72" t="s">
        <v>2566</v>
      </c>
      <c r="T24" s="121" t="s">
        <v>2231</v>
      </c>
      <c r="U24" s="122" t="s">
        <v>2155</v>
      </c>
      <c r="W24" s="131" t="s">
        <v>2335</v>
      </c>
      <c r="X24" s="73" t="s">
        <v>1931</v>
      </c>
      <c r="Y24" s="73" t="s">
        <v>1930</v>
      </c>
      <c r="AC24"/>
      <c r="AG24" s="131" t="s">
        <v>2335</v>
      </c>
    </row>
    <row r="25" spans="1:33" ht="13.8" thickBot="1">
      <c r="O25" s="72" t="s">
        <v>2567</v>
      </c>
      <c r="T25" s="116" t="s">
        <v>2304</v>
      </c>
      <c r="U25" s="122" t="s">
        <v>2155</v>
      </c>
      <c r="W25" s="131" t="s">
        <v>2332</v>
      </c>
      <c r="X25" s="73" t="s">
        <v>1931</v>
      </c>
      <c r="Y25" s="73" t="s">
        <v>1930</v>
      </c>
      <c r="AC25"/>
      <c r="AG25" s="131" t="s">
        <v>2332</v>
      </c>
    </row>
    <row r="26" spans="1:33" ht="13.8" thickBot="1">
      <c r="O26" s="72" t="s">
        <v>2568</v>
      </c>
      <c r="T26" s="116" t="s">
        <v>2305</v>
      </c>
      <c r="U26" s="122" t="s">
        <v>2155</v>
      </c>
      <c r="W26" s="131" t="s">
        <v>2280</v>
      </c>
      <c r="X26" s="73" t="s">
        <v>1931</v>
      </c>
      <c r="Y26" s="73" t="s">
        <v>1930</v>
      </c>
      <c r="AC26"/>
      <c r="AG26" s="131" t="s">
        <v>2280</v>
      </c>
    </row>
    <row r="27" spans="1:33">
      <c r="O27" s="72" t="s">
        <v>2569</v>
      </c>
      <c r="W27" s="131" t="s">
        <v>2223</v>
      </c>
      <c r="X27" s="73" t="s">
        <v>1931</v>
      </c>
      <c r="Y27" s="73" t="s">
        <v>1930</v>
      </c>
      <c r="AC27"/>
      <c r="AG27" s="131" t="s">
        <v>2223</v>
      </c>
    </row>
    <row r="28" spans="1:33">
      <c r="O28" s="72" t="s">
        <v>2570</v>
      </c>
      <c r="W28" s="131" t="s">
        <v>2239</v>
      </c>
      <c r="X28" s="73"/>
      <c r="Y28" s="73" t="s">
        <v>2155</v>
      </c>
      <c r="AC28"/>
      <c r="AG28" s="131" t="s">
        <v>2239</v>
      </c>
    </row>
    <row r="29" spans="1:33">
      <c r="I29" s="72" t="s">
        <v>2352</v>
      </c>
      <c r="O29" s="72" t="s">
        <v>2571</v>
      </c>
      <c r="W29" s="131" t="s">
        <v>2237</v>
      </c>
      <c r="X29" s="73"/>
      <c r="Y29" s="73" t="s">
        <v>2155</v>
      </c>
      <c r="AC29"/>
      <c r="AG29" s="131" t="s">
        <v>2237</v>
      </c>
    </row>
    <row r="30" spans="1:33">
      <c r="I30" s="72" t="s">
        <v>2353</v>
      </c>
      <c r="O30" s="72" t="s">
        <v>2572</v>
      </c>
      <c r="W30" s="131" t="s">
        <v>2337</v>
      </c>
      <c r="X30" s="73"/>
      <c r="Y30" s="73" t="s">
        <v>2155</v>
      </c>
      <c r="AC30"/>
      <c r="AG30" s="131" t="s">
        <v>2337</v>
      </c>
    </row>
    <row r="31" spans="1:33">
      <c r="I31" s="72" t="s">
        <v>2380</v>
      </c>
      <c r="O31" s="72" t="s">
        <v>2573</v>
      </c>
      <c r="W31" s="131" t="s">
        <v>2236</v>
      </c>
      <c r="X31" s="73"/>
      <c r="Y31" s="73" t="s">
        <v>2155</v>
      </c>
      <c r="AC31"/>
      <c r="AG31" s="131" t="s">
        <v>2236</v>
      </c>
    </row>
    <row r="32" spans="1:33">
      <c r="O32" s="72" t="s">
        <v>2574</v>
      </c>
      <c r="W32" s="131" t="s">
        <v>2224</v>
      </c>
      <c r="X32" s="73" t="s">
        <v>1931</v>
      </c>
      <c r="Y32" s="73" t="s">
        <v>1930</v>
      </c>
      <c r="AC32"/>
      <c r="AG32" s="131" t="s">
        <v>2224</v>
      </c>
    </row>
    <row r="33" spans="9:33">
      <c r="O33" s="72" t="s">
        <v>2575</v>
      </c>
      <c r="W33" s="131" t="s">
        <v>2334</v>
      </c>
      <c r="X33" s="73"/>
      <c r="Y33" s="73" t="s">
        <v>2155</v>
      </c>
      <c r="AC33"/>
      <c r="AG33" s="131" t="s">
        <v>2334</v>
      </c>
    </row>
    <row r="34" spans="9:33">
      <c r="O34" s="72" t="s">
        <v>2576</v>
      </c>
      <c r="W34" s="131" t="s">
        <v>2344</v>
      </c>
      <c r="X34" s="73" t="s">
        <v>1931</v>
      </c>
      <c r="Y34" s="73" t="s">
        <v>1930</v>
      </c>
      <c r="AC34"/>
      <c r="AG34" s="131" t="s">
        <v>2344</v>
      </c>
    </row>
    <row r="35" spans="9:33">
      <c r="O35" s="72" t="s">
        <v>2577</v>
      </c>
      <c r="W35" s="131" t="s">
        <v>2288</v>
      </c>
      <c r="X35" s="73" t="s">
        <v>1931</v>
      </c>
      <c r="Y35" s="73" t="s">
        <v>1930</v>
      </c>
      <c r="AC35"/>
      <c r="AG35" s="131" t="s">
        <v>2288</v>
      </c>
    </row>
    <row r="36" spans="9:33">
      <c r="I36" s="72" t="s">
        <v>2352</v>
      </c>
      <c r="O36" s="72" t="s">
        <v>2578</v>
      </c>
      <c r="W36" s="131" t="s">
        <v>2342</v>
      </c>
      <c r="X36" s="73" t="s">
        <v>1931</v>
      </c>
      <c r="Y36" s="73" t="s">
        <v>1930</v>
      </c>
      <c r="AC36"/>
      <c r="AG36" s="131" t="s">
        <v>2342</v>
      </c>
    </row>
    <row r="37" spans="9:33">
      <c r="I37" s="72" t="s">
        <v>2349</v>
      </c>
      <c r="O37" s="72" t="s">
        <v>2579</v>
      </c>
      <c r="W37" s="131" t="s">
        <v>2343</v>
      </c>
      <c r="X37" s="73" t="s">
        <v>1931</v>
      </c>
      <c r="Y37" s="73" t="s">
        <v>1930</v>
      </c>
      <c r="AC37"/>
      <c r="AG37" s="131" t="s">
        <v>2343</v>
      </c>
    </row>
    <row r="38" spans="9:33">
      <c r="O38" s="72" t="s">
        <v>2580</v>
      </c>
      <c r="W38" s="131" t="s">
        <v>2331</v>
      </c>
      <c r="X38" s="73"/>
      <c r="Y38" s="73" t="s">
        <v>2155</v>
      </c>
      <c r="AC38"/>
      <c r="AG38" s="131" t="s">
        <v>2331</v>
      </c>
    </row>
    <row r="39" spans="9:33">
      <c r="O39" s="72" t="s">
        <v>2581</v>
      </c>
      <c r="AC39"/>
    </row>
    <row r="40" spans="9:33">
      <c r="O40" s="72" t="s">
        <v>2582</v>
      </c>
      <c r="AC40"/>
    </row>
    <row r="41" spans="9:33">
      <c r="O41" s="72" t="s">
        <v>2583</v>
      </c>
      <c r="AC41"/>
    </row>
    <row r="42" spans="9:33">
      <c r="O42" s="72" t="s">
        <v>2584</v>
      </c>
      <c r="T42" s="72" t="s">
        <v>2232</v>
      </c>
      <c r="U42" s="72" t="s">
        <v>2155</v>
      </c>
      <c r="AC42"/>
    </row>
    <row r="43" spans="9:33">
      <c r="O43" s="72" t="s">
        <v>2585</v>
      </c>
      <c r="T43" s="72" t="s">
        <v>2233</v>
      </c>
      <c r="U43" s="72" t="s">
        <v>2155</v>
      </c>
      <c r="AC43"/>
    </row>
    <row r="44" spans="9:33">
      <c r="O44" s="72" t="s">
        <v>2586</v>
      </c>
      <c r="T44" s="72" t="s">
        <v>2234</v>
      </c>
      <c r="U44" s="72" t="s">
        <v>2155</v>
      </c>
      <c r="AC44"/>
    </row>
    <row r="45" spans="9:33">
      <c r="O45" s="72" t="s">
        <v>2587</v>
      </c>
      <c r="T45" s="72" t="s">
        <v>2235</v>
      </c>
      <c r="U45" s="72" t="s">
        <v>2155</v>
      </c>
      <c r="AC45"/>
    </row>
    <row r="46" spans="9:33">
      <c r="O46" s="72" t="s">
        <v>2588</v>
      </c>
      <c r="T46" s="72" t="s">
        <v>2236</v>
      </c>
      <c r="U46" s="72" t="s">
        <v>2155</v>
      </c>
      <c r="W46"/>
      <c r="X46"/>
      <c r="Y46"/>
      <c r="AC46"/>
    </row>
    <row r="47" spans="9:33">
      <c r="O47" s="72" t="s">
        <v>2589</v>
      </c>
      <c r="T47" s="72" t="s">
        <v>2237</v>
      </c>
      <c r="U47" s="72" t="s">
        <v>2155</v>
      </c>
      <c r="W47"/>
      <c r="X47"/>
      <c r="Y47"/>
      <c r="AC47"/>
    </row>
    <row r="48" spans="9:33">
      <c r="O48" s="72" t="s">
        <v>2590</v>
      </c>
      <c r="T48" s="72" t="s">
        <v>2238</v>
      </c>
      <c r="U48" s="72" t="s">
        <v>2155</v>
      </c>
      <c r="W48"/>
      <c r="X48"/>
      <c r="Y48"/>
      <c r="AC48"/>
    </row>
    <row r="49" spans="15:29">
      <c r="O49" s="72" t="s">
        <v>2591</v>
      </c>
      <c r="T49" s="72" t="s">
        <v>2239</v>
      </c>
      <c r="U49" s="72" t="s">
        <v>2155</v>
      </c>
      <c r="W49"/>
      <c r="X49"/>
      <c r="Y49"/>
      <c r="AC49"/>
    </row>
    <row r="50" spans="15:29">
      <c r="O50" s="72" t="s">
        <v>2592</v>
      </c>
      <c r="T50" s="72" t="s">
        <v>2240</v>
      </c>
      <c r="U50" s="72" t="s">
        <v>2155</v>
      </c>
      <c r="W50"/>
      <c r="X50"/>
      <c r="Y50"/>
      <c r="AC50"/>
    </row>
    <row r="51" spans="15:29">
      <c r="O51" s="72" t="s">
        <v>2593</v>
      </c>
      <c r="T51" s="72" t="s">
        <v>2241</v>
      </c>
      <c r="U51" s="72" t="s">
        <v>2155</v>
      </c>
      <c r="W51"/>
      <c r="X51"/>
      <c r="Y51"/>
      <c r="AC51"/>
    </row>
    <row r="52" spans="15:29">
      <c r="O52" s="72" t="s">
        <v>2594</v>
      </c>
      <c r="T52" s="72" t="s">
        <v>2242</v>
      </c>
      <c r="U52" s="72" t="s">
        <v>2155</v>
      </c>
      <c r="W52"/>
      <c r="X52"/>
      <c r="Y52"/>
      <c r="AC52"/>
    </row>
    <row r="53" spans="15:29">
      <c r="O53" s="72" t="s">
        <v>2595</v>
      </c>
      <c r="T53" s="72" t="s">
        <v>2243</v>
      </c>
      <c r="U53" s="72" t="s">
        <v>2155</v>
      </c>
      <c r="W53"/>
      <c r="X53"/>
      <c r="Y53"/>
      <c r="AC53"/>
    </row>
    <row r="54" spans="15:29">
      <c r="O54" s="72" t="s">
        <v>2596</v>
      </c>
      <c r="T54" s="72" t="s">
        <v>2244</v>
      </c>
      <c r="U54" s="72" t="s">
        <v>2155</v>
      </c>
      <c r="W54"/>
      <c r="X54"/>
      <c r="Y54"/>
      <c r="AC54"/>
    </row>
    <row r="55" spans="15:29">
      <c r="O55" s="72" t="s">
        <v>2597</v>
      </c>
      <c r="T55" s="72" t="s">
        <v>2245</v>
      </c>
      <c r="U55" s="72" t="s">
        <v>1931</v>
      </c>
      <c r="W55"/>
      <c r="X55"/>
      <c r="Y55"/>
      <c r="AC55"/>
    </row>
    <row r="56" spans="15:29">
      <c r="O56" s="72" t="s">
        <v>2598</v>
      </c>
      <c r="T56" s="72" t="s">
        <v>2246</v>
      </c>
      <c r="U56" s="72" t="s">
        <v>1931</v>
      </c>
      <c r="W56"/>
      <c r="X56"/>
      <c r="Y56"/>
      <c r="AC56"/>
    </row>
    <row r="57" spans="15:29">
      <c r="O57" s="72" t="s">
        <v>2599</v>
      </c>
      <c r="T57" s="72" t="s">
        <v>2247</v>
      </c>
      <c r="U57" s="72" t="s">
        <v>1931</v>
      </c>
      <c r="W57"/>
      <c r="X57"/>
      <c r="Y57"/>
      <c r="AC57"/>
    </row>
    <row r="58" spans="15:29">
      <c r="O58" s="72" t="s">
        <v>2600</v>
      </c>
      <c r="T58" s="72" t="s">
        <v>2210</v>
      </c>
      <c r="U58" s="72" t="s">
        <v>1930</v>
      </c>
      <c r="W58"/>
      <c r="X58"/>
      <c r="Y58"/>
      <c r="AC58"/>
    </row>
    <row r="59" spans="15:29">
      <c r="O59" s="72" t="s">
        <v>2601</v>
      </c>
      <c r="T59" s="72" t="s">
        <v>2211</v>
      </c>
      <c r="U59" s="72" t="s">
        <v>1930</v>
      </c>
      <c r="W59"/>
      <c r="X59"/>
      <c r="Y59"/>
      <c r="AC59"/>
    </row>
    <row r="60" spans="15:29">
      <c r="O60" s="72" t="s">
        <v>2602</v>
      </c>
      <c r="T60" s="72" t="s">
        <v>2212</v>
      </c>
      <c r="U60" s="72" t="s">
        <v>1930</v>
      </c>
      <c r="W60"/>
      <c r="X60"/>
      <c r="Y60"/>
      <c r="AC60"/>
    </row>
    <row r="61" spans="15:29">
      <c r="O61" s="72" t="s">
        <v>2603</v>
      </c>
      <c r="T61" s="72" t="s">
        <v>2213</v>
      </c>
      <c r="U61" s="72" t="s">
        <v>1930</v>
      </c>
      <c r="W61"/>
      <c r="X61"/>
      <c r="Y61"/>
      <c r="AC61"/>
    </row>
    <row r="62" spans="15:29">
      <c r="O62" s="72" t="s">
        <v>2604</v>
      </c>
      <c r="T62" s="72" t="s">
        <v>2276</v>
      </c>
      <c r="U62" s="72" t="s">
        <v>1930</v>
      </c>
      <c r="W62"/>
      <c r="X62"/>
      <c r="Y62"/>
      <c r="AC62"/>
    </row>
    <row r="63" spans="15:29">
      <c r="O63" s="72" t="s">
        <v>2605</v>
      </c>
      <c r="T63" s="72" t="s">
        <v>2214</v>
      </c>
      <c r="U63" s="72" t="s">
        <v>1930</v>
      </c>
      <c r="W63"/>
      <c r="X63"/>
      <c r="Y63"/>
      <c r="AC63"/>
    </row>
    <row r="64" spans="15:29">
      <c r="O64" s="72" t="s">
        <v>2606</v>
      </c>
      <c r="T64" s="72" t="s">
        <v>2215</v>
      </c>
      <c r="U64" s="72" t="s">
        <v>1930</v>
      </c>
      <c r="W64"/>
      <c r="X64"/>
      <c r="Y64"/>
      <c r="AC64"/>
    </row>
    <row r="65" spans="15:29">
      <c r="O65" s="72" t="s">
        <v>2607</v>
      </c>
      <c r="T65" s="72" t="s">
        <v>2216</v>
      </c>
      <c r="U65" s="72" t="s">
        <v>1930</v>
      </c>
      <c r="W65"/>
      <c r="X65"/>
      <c r="Y65"/>
      <c r="AC65"/>
    </row>
    <row r="66" spans="15:29">
      <c r="O66" s="72" t="s">
        <v>2608</v>
      </c>
      <c r="T66" s="72" t="s">
        <v>2217</v>
      </c>
      <c r="U66" s="72" t="s">
        <v>1930</v>
      </c>
      <c r="W66"/>
      <c r="X66"/>
      <c r="Y66"/>
      <c r="AC66"/>
    </row>
    <row r="67" spans="15:29">
      <c r="O67" s="72" t="s">
        <v>2609</v>
      </c>
      <c r="T67" s="72" t="s">
        <v>2218</v>
      </c>
      <c r="U67" s="72" t="s">
        <v>1930</v>
      </c>
      <c r="W67"/>
      <c r="X67"/>
      <c r="Y67"/>
      <c r="AC67"/>
    </row>
    <row r="68" spans="15:29">
      <c r="O68" s="72" t="s">
        <v>2610</v>
      </c>
      <c r="T68" s="72" t="s">
        <v>2219</v>
      </c>
      <c r="U68" s="72" t="s">
        <v>1930</v>
      </c>
      <c r="W68"/>
      <c r="X68"/>
      <c r="Y68"/>
      <c r="AC68"/>
    </row>
    <row r="69" spans="15:29">
      <c r="O69" s="72" t="s">
        <v>2611</v>
      </c>
      <c r="T69" s="72" t="s">
        <v>2220</v>
      </c>
      <c r="U69" s="72" t="s">
        <v>1930</v>
      </c>
      <c r="W69"/>
      <c r="X69"/>
      <c r="Y69"/>
      <c r="AC69"/>
    </row>
    <row r="70" spans="15:29">
      <c r="O70" s="72" t="s">
        <v>2612</v>
      </c>
      <c r="T70" s="72" t="s">
        <v>2221</v>
      </c>
      <c r="U70" s="72" t="s">
        <v>1930</v>
      </c>
      <c r="W70"/>
      <c r="X70"/>
      <c r="Y70"/>
      <c r="AC70"/>
    </row>
    <row r="71" spans="15:29">
      <c r="O71" s="72" t="s">
        <v>2613</v>
      </c>
      <c r="T71" s="72" t="s">
        <v>2222</v>
      </c>
      <c r="U71" s="72" t="s">
        <v>1930</v>
      </c>
      <c r="W71"/>
      <c r="X71"/>
      <c r="Y71"/>
      <c r="AC71"/>
    </row>
    <row r="72" spans="15:29">
      <c r="O72" s="72" t="s">
        <v>2614</v>
      </c>
      <c r="T72" s="72" t="s">
        <v>2223</v>
      </c>
      <c r="U72" s="72" t="s">
        <v>1930</v>
      </c>
      <c r="W72"/>
      <c r="X72"/>
      <c r="Y72"/>
      <c r="AC72"/>
    </row>
    <row r="73" spans="15:29">
      <c r="O73" s="72" t="s">
        <v>2615</v>
      </c>
      <c r="T73" s="72" t="s">
        <v>2224</v>
      </c>
      <c r="U73" s="72" t="s">
        <v>1930</v>
      </c>
      <c r="W73"/>
      <c r="X73"/>
      <c r="Y73"/>
      <c r="AC73"/>
    </row>
    <row r="74" spans="15:29">
      <c r="O74" s="72" t="s">
        <v>2616</v>
      </c>
      <c r="T74" s="72" t="s">
        <v>2225</v>
      </c>
      <c r="U74" s="72" t="s">
        <v>1930</v>
      </c>
      <c r="W74"/>
      <c r="X74"/>
      <c r="Y74"/>
      <c r="AC74"/>
    </row>
    <row r="75" spans="15:29">
      <c r="O75" s="72" t="s">
        <v>2617</v>
      </c>
      <c r="T75" s="72" t="s">
        <v>2233</v>
      </c>
      <c r="U75" s="72" t="s">
        <v>2155</v>
      </c>
      <c r="W75"/>
      <c r="X75"/>
      <c r="Y75"/>
      <c r="AC75"/>
    </row>
    <row r="76" spans="15:29">
      <c r="O76" s="72" t="s">
        <v>2618</v>
      </c>
      <c r="T76" s="72" t="s">
        <v>2282</v>
      </c>
      <c r="U76" s="72" t="s">
        <v>2155</v>
      </c>
      <c r="W76"/>
      <c r="X76"/>
      <c r="Y76"/>
      <c r="AC76"/>
    </row>
    <row r="77" spans="15:29">
      <c r="O77" s="72" t="s">
        <v>2619</v>
      </c>
      <c r="T77" s="72" t="s">
        <v>2283</v>
      </c>
      <c r="U77" s="72" t="s">
        <v>2155</v>
      </c>
      <c r="W77"/>
      <c r="X77"/>
      <c r="Y77"/>
      <c r="AC77"/>
    </row>
    <row r="78" spans="15:29">
      <c r="O78" s="72" t="s">
        <v>2620</v>
      </c>
      <c r="T78" s="72" t="s">
        <v>2284</v>
      </c>
      <c r="U78" s="72" t="s">
        <v>1931</v>
      </c>
      <c r="W78"/>
      <c r="X78"/>
      <c r="Y78"/>
      <c r="AC78"/>
    </row>
    <row r="79" spans="15:29">
      <c r="O79" s="72" t="s">
        <v>2621</v>
      </c>
      <c r="T79" s="72" t="s">
        <v>2285</v>
      </c>
      <c r="U79" s="72" t="s">
        <v>1931</v>
      </c>
      <c r="W79"/>
      <c r="X79"/>
      <c r="Y79"/>
      <c r="AC79"/>
    </row>
    <row r="80" spans="15:29">
      <c r="O80" s="72" t="s">
        <v>2622</v>
      </c>
      <c r="T80" s="72" t="s">
        <v>2247</v>
      </c>
      <c r="U80" s="72" t="s">
        <v>1931</v>
      </c>
      <c r="W80"/>
      <c r="X80"/>
      <c r="Y80"/>
      <c r="AC80"/>
    </row>
    <row r="81" spans="15:29">
      <c r="O81" s="72" t="s">
        <v>2623</v>
      </c>
      <c r="T81" s="72" t="s">
        <v>2286</v>
      </c>
      <c r="U81" s="72" t="s">
        <v>1931</v>
      </c>
      <c r="W81"/>
      <c r="X81"/>
      <c r="Y81"/>
      <c r="AC81"/>
    </row>
    <row r="82" spans="15:29">
      <c r="O82" s="72" t="s">
        <v>2624</v>
      </c>
      <c r="T82" s="72" t="s">
        <v>2287</v>
      </c>
      <c r="U82" s="72" t="s">
        <v>1930</v>
      </c>
      <c r="W82"/>
      <c r="X82"/>
      <c r="Y82"/>
      <c r="AC82"/>
    </row>
    <row r="83" spans="15:29">
      <c r="O83" s="72" t="s">
        <v>2625</v>
      </c>
      <c r="T83" s="72" t="s">
        <v>2288</v>
      </c>
      <c r="U83" s="72" t="s">
        <v>1930</v>
      </c>
      <c r="W83"/>
      <c r="X83"/>
      <c r="Y83"/>
      <c r="AC83"/>
    </row>
    <row r="84" spans="15:29">
      <c r="O84" s="72" t="s">
        <v>2626</v>
      </c>
      <c r="T84" s="72" t="s">
        <v>2211</v>
      </c>
      <c r="U84" s="72" t="s">
        <v>1930</v>
      </c>
      <c r="W84"/>
      <c r="X84"/>
      <c r="Y84"/>
      <c r="AC84"/>
    </row>
    <row r="85" spans="15:29">
      <c r="O85" s="72" t="s">
        <v>2627</v>
      </c>
      <c r="T85" s="72" t="s">
        <v>2289</v>
      </c>
      <c r="U85" s="72" t="s">
        <v>1930</v>
      </c>
      <c r="W85"/>
      <c r="X85"/>
      <c r="Y85"/>
      <c r="AC85"/>
    </row>
    <row r="86" spans="15:29">
      <c r="O86" s="72" t="s">
        <v>2628</v>
      </c>
      <c r="T86" s="72" t="s">
        <v>2290</v>
      </c>
      <c r="U86" s="72" t="s">
        <v>1930</v>
      </c>
      <c r="W86"/>
      <c r="X86"/>
      <c r="Y86"/>
      <c r="AC86"/>
    </row>
    <row r="87" spans="15:29">
      <c r="O87" s="72" t="s">
        <v>2629</v>
      </c>
      <c r="T87" s="72" t="s">
        <v>2291</v>
      </c>
      <c r="U87" s="72" t="s">
        <v>1930</v>
      </c>
      <c r="W87"/>
      <c r="X87"/>
      <c r="Y87"/>
      <c r="AC87"/>
    </row>
    <row r="88" spans="15:29">
      <c r="O88" s="72" t="s">
        <v>2630</v>
      </c>
      <c r="T88" s="72" t="s">
        <v>2292</v>
      </c>
      <c r="U88" s="72" t="s">
        <v>1930</v>
      </c>
      <c r="W88"/>
      <c r="X88"/>
      <c r="Y88"/>
      <c r="AC88"/>
    </row>
    <row r="89" spans="15:29">
      <c r="O89" s="72" t="s">
        <v>2631</v>
      </c>
      <c r="T89" s="72" t="s">
        <v>2293</v>
      </c>
      <c r="U89" s="72" t="s">
        <v>1930</v>
      </c>
      <c r="W89"/>
      <c r="X89"/>
      <c r="Y89"/>
      <c r="AC89"/>
    </row>
    <row r="90" spans="15:29">
      <c r="O90" s="72" t="s">
        <v>2632</v>
      </c>
      <c r="T90" s="72" t="s">
        <v>2294</v>
      </c>
      <c r="U90" s="72" t="s">
        <v>1930</v>
      </c>
      <c r="W90"/>
      <c r="X90"/>
      <c r="Y90"/>
      <c r="AC90"/>
    </row>
    <row r="91" spans="15:29">
      <c r="O91" s="72" t="s">
        <v>2633</v>
      </c>
      <c r="T91" s="72" t="s">
        <v>2295</v>
      </c>
      <c r="U91" s="72" t="s">
        <v>1930</v>
      </c>
      <c r="W91"/>
      <c r="X91"/>
      <c r="Y91"/>
      <c r="AC91"/>
    </row>
    <row r="92" spans="15:29">
      <c r="O92" s="72" t="s">
        <v>2634</v>
      </c>
      <c r="T92" s="72" t="s">
        <v>2296</v>
      </c>
      <c r="U92" s="72" t="s">
        <v>1930</v>
      </c>
      <c r="W92"/>
      <c r="X92"/>
      <c r="Y92"/>
      <c r="AC92"/>
    </row>
    <row r="93" spans="15:29">
      <c r="O93" s="72" t="s">
        <v>2635</v>
      </c>
      <c r="T93" s="72" t="s">
        <v>2297</v>
      </c>
      <c r="U93" s="72" t="s">
        <v>1930</v>
      </c>
      <c r="W93"/>
      <c r="X93"/>
      <c r="Y93"/>
      <c r="AC93"/>
    </row>
    <row r="94" spans="15:29">
      <c r="O94" s="72" t="s">
        <v>2636</v>
      </c>
      <c r="T94" s="72" t="s">
        <v>2298</v>
      </c>
      <c r="U94" s="72" t="s">
        <v>1930</v>
      </c>
      <c r="W94"/>
      <c r="X94"/>
      <c r="Y94"/>
      <c r="AC94"/>
    </row>
    <row r="95" spans="15:29">
      <c r="O95" s="72" t="s">
        <v>2637</v>
      </c>
      <c r="T95" s="72" t="s">
        <v>2299</v>
      </c>
      <c r="U95" s="72" t="s">
        <v>1930</v>
      </c>
      <c r="W95"/>
      <c r="X95"/>
      <c r="Y95"/>
      <c r="AC95"/>
    </row>
    <row r="96" spans="15:29">
      <c r="O96" s="72" t="s">
        <v>2638</v>
      </c>
      <c r="T96" s="72" t="s">
        <v>2300</v>
      </c>
      <c r="U96" s="72" t="s">
        <v>1930</v>
      </c>
      <c r="W96"/>
      <c r="X96"/>
      <c r="Y96"/>
      <c r="AC96"/>
    </row>
    <row r="97" spans="15:29">
      <c r="O97" s="72" t="s">
        <v>2639</v>
      </c>
      <c r="T97" s="72" t="s">
        <v>2301</v>
      </c>
      <c r="U97" s="72" t="s">
        <v>1930</v>
      </c>
      <c r="W97"/>
      <c r="X97"/>
      <c r="Y97"/>
      <c r="AC97"/>
    </row>
    <row r="98" spans="15:29">
      <c r="O98" s="72" t="s">
        <v>2640</v>
      </c>
      <c r="T98" s="72" t="s">
        <v>2302</v>
      </c>
      <c r="U98" s="72" t="s">
        <v>2155</v>
      </c>
      <c r="W98"/>
      <c r="X98"/>
      <c r="Y98"/>
      <c r="AC98"/>
    </row>
    <row r="99" spans="15:29">
      <c r="O99" s="72" t="s">
        <v>2641</v>
      </c>
      <c r="T99" s="72" t="s">
        <v>2303</v>
      </c>
      <c r="U99" s="72" t="s">
        <v>2155</v>
      </c>
      <c r="W99"/>
      <c r="X99"/>
      <c r="Y99"/>
      <c r="AC99"/>
    </row>
    <row r="100" spans="15:29">
      <c r="O100" s="72" t="s">
        <v>2642</v>
      </c>
      <c r="T100" s="72" t="s">
        <v>2233</v>
      </c>
      <c r="U100" s="72" t="s">
        <v>2155</v>
      </c>
      <c r="W100"/>
      <c r="X100"/>
      <c r="Y100"/>
      <c r="AC100"/>
    </row>
    <row r="101" spans="15:29">
      <c r="O101" s="72" t="s">
        <v>2643</v>
      </c>
      <c r="T101" s="72" t="s">
        <v>2304</v>
      </c>
      <c r="U101" s="72" t="s">
        <v>2155</v>
      </c>
      <c r="W101"/>
      <c r="X101"/>
      <c r="Y101"/>
      <c r="AC101"/>
    </row>
    <row r="102" spans="15:29">
      <c r="O102" s="72" t="s">
        <v>2644</v>
      </c>
      <c r="T102" s="72" t="s">
        <v>2305</v>
      </c>
      <c r="U102" s="72" t="s">
        <v>2155</v>
      </c>
      <c r="W102"/>
      <c r="X102"/>
      <c r="Y102"/>
      <c r="AC102"/>
    </row>
    <row r="103" spans="15:29">
      <c r="O103" s="72" t="s">
        <v>2645</v>
      </c>
      <c r="T103" s="72" t="s">
        <v>2306</v>
      </c>
      <c r="U103" s="72" t="s">
        <v>2155</v>
      </c>
      <c r="W103"/>
      <c r="X103"/>
      <c r="Y103"/>
      <c r="AC103"/>
    </row>
    <row r="104" spans="15:29">
      <c r="O104" s="72" t="s">
        <v>2646</v>
      </c>
      <c r="T104" s="72" t="s">
        <v>2307</v>
      </c>
      <c r="U104" s="72" t="s">
        <v>2155</v>
      </c>
      <c r="W104"/>
      <c r="X104"/>
      <c r="Y104"/>
      <c r="AC104"/>
    </row>
    <row r="105" spans="15:29">
      <c r="O105" s="72" t="s">
        <v>2647</v>
      </c>
      <c r="T105" s="72" t="s">
        <v>2308</v>
      </c>
      <c r="U105" s="72" t="s">
        <v>2155</v>
      </c>
      <c r="W105"/>
      <c r="X105"/>
      <c r="Y105"/>
      <c r="AC105"/>
    </row>
    <row r="106" spans="15:29">
      <c r="O106" s="72" t="s">
        <v>2648</v>
      </c>
      <c r="T106" s="72" t="s">
        <v>2238</v>
      </c>
      <c r="U106" s="72" t="s">
        <v>2155</v>
      </c>
      <c r="W106"/>
      <c r="X106"/>
      <c r="Y106"/>
      <c r="AC106"/>
    </row>
    <row r="107" spans="15:29">
      <c r="O107" s="72" t="s">
        <v>2649</v>
      </c>
      <c r="T107" s="72" t="s">
        <v>2239</v>
      </c>
      <c r="U107" s="72" t="s">
        <v>2155</v>
      </c>
      <c r="W107"/>
      <c r="X107"/>
      <c r="Y107"/>
      <c r="AC107"/>
    </row>
    <row r="108" spans="15:29">
      <c r="O108" s="72" t="s">
        <v>2650</v>
      </c>
      <c r="T108" s="72" t="s">
        <v>2309</v>
      </c>
      <c r="U108" s="72" t="s">
        <v>2155</v>
      </c>
      <c r="W108"/>
      <c r="X108"/>
      <c r="Y108"/>
      <c r="AC108"/>
    </row>
    <row r="109" spans="15:29">
      <c r="O109" s="72" t="s">
        <v>2651</v>
      </c>
      <c r="T109" s="72" t="s">
        <v>2310</v>
      </c>
      <c r="U109" s="72" t="s">
        <v>2155</v>
      </c>
      <c r="W109"/>
      <c r="X109"/>
      <c r="Y109"/>
      <c r="AC109"/>
    </row>
    <row r="110" spans="15:29">
      <c r="O110" s="72" t="s">
        <v>2652</v>
      </c>
      <c r="T110" s="72" t="s">
        <v>2311</v>
      </c>
      <c r="U110" s="72" t="s">
        <v>2155</v>
      </c>
      <c r="W110"/>
      <c r="X110"/>
      <c r="Y110"/>
      <c r="AC110"/>
    </row>
    <row r="111" spans="15:29">
      <c r="O111" s="72" t="s">
        <v>2653</v>
      </c>
      <c r="T111" s="72" t="s">
        <v>2312</v>
      </c>
      <c r="U111" s="72" t="s">
        <v>1931</v>
      </c>
      <c r="W111"/>
      <c r="X111"/>
      <c r="Y111"/>
      <c r="AC111"/>
    </row>
    <row r="112" spans="15:29">
      <c r="O112" s="72" t="s">
        <v>2654</v>
      </c>
      <c r="T112" s="72" t="s">
        <v>2313</v>
      </c>
      <c r="U112" s="72" t="s">
        <v>1931</v>
      </c>
      <c r="W112"/>
      <c r="X112"/>
      <c r="Y112"/>
      <c r="AC112"/>
    </row>
    <row r="113" spans="15:29">
      <c r="O113" s="72" t="s">
        <v>2655</v>
      </c>
      <c r="T113" s="72" t="s">
        <v>2314</v>
      </c>
      <c r="U113" s="72" t="s">
        <v>1931</v>
      </c>
      <c r="W113"/>
      <c r="X113"/>
      <c r="Y113"/>
      <c r="AC113"/>
    </row>
    <row r="114" spans="15:29">
      <c r="O114" s="72" t="s">
        <v>2656</v>
      </c>
      <c r="T114" s="72" t="s">
        <v>2315</v>
      </c>
      <c r="U114" s="72" t="s">
        <v>1931</v>
      </c>
      <c r="W114"/>
      <c r="X114"/>
      <c r="Y114"/>
      <c r="AC114"/>
    </row>
    <row r="115" spans="15:29">
      <c r="O115" s="72" t="s">
        <v>2657</v>
      </c>
      <c r="T115" s="72" t="s">
        <v>2316</v>
      </c>
      <c r="U115" s="72" t="s">
        <v>1930</v>
      </c>
      <c r="W115"/>
      <c r="X115"/>
      <c r="Y115"/>
      <c r="AC115"/>
    </row>
    <row r="116" spans="15:29">
      <c r="O116" s="72" t="s">
        <v>2658</v>
      </c>
      <c r="T116" s="72" t="s">
        <v>2317</v>
      </c>
      <c r="U116" s="72" t="s">
        <v>1930</v>
      </c>
      <c r="W116"/>
      <c r="X116"/>
      <c r="Y116"/>
      <c r="AC116"/>
    </row>
    <row r="117" spans="15:29">
      <c r="O117" s="72" t="s">
        <v>2659</v>
      </c>
      <c r="T117" s="72" t="s">
        <v>2318</v>
      </c>
      <c r="U117" s="72" t="s">
        <v>1930</v>
      </c>
      <c r="W117"/>
      <c r="X117"/>
      <c r="Y117"/>
      <c r="AC117"/>
    </row>
    <row r="118" spans="15:29">
      <c r="O118" s="72" t="s">
        <v>2660</v>
      </c>
      <c r="T118" s="72" t="s">
        <v>2319</v>
      </c>
      <c r="U118" s="72" t="s">
        <v>1930</v>
      </c>
      <c r="W118"/>
      <c r="X118"/>
      <c r="Y118"/>
      <c r="AC118"/>
    </row>
    <row r="119" spans="15:29">
      <c r="O119" s="72" t="s">
        <v>2661</v>
      </c>
      <c r="T119" s="72" t="s">
        <v>2320</v>
      </c>
      <c r="U119" s="72" t="s">
        <v>1930</v>
      </c>
      <c r="W119"/>
      <c r="X119"/>
      <c r="Y119"/>
      <c r="AC119"/>
    </row>
    <row r="120" spans="15:29">
      <c r="O120" s="72" t="s">
        <v>2662</v>
      </c>
      <c r="T120" s="72" t="s">
        <v>2321</v>
      </c>
      <c r="U120" s="72" t="s">
        <v>1930</v>
      </c>
      <c r="W120"/>
      <c r="X120"/>
      <c r="Y120"/>
      <c r="AC120"/>
    </row>
    <row r="121" spans="15:29">
      <c r="O121" s="72" t="s">
        <v>2663</v>
      </c>
      <c r="T121" s="72" t="s">
        <v>2322</v>
      </c>
      <c r="U121" s="72" t="s">
        <v>1930</v>
      </c>
      <c r="W121"/>
      <c r="X121"/>
      <c r="Y121"/>
      <c r="AC121"/>
    </row>
    <row r="122" spans="15:29">
      <c r="O122" s="72" t="s">
        <v>2664</v>
      </c>
      <c r="T122" s="72" t="s">
        <v>2242</v>
      </c>
      <c r="U122" s="72" t="s">
        <v>1930</v>
      </c>
      <c r="W122"/>
      <c r="X122"/>
      <c r="Y122"/>
      <c r="AC122"/>
    </row>
    <row r="123" spans="15:29">
      <c r="O123" s="72" t="s">
        <v>2665</v>
      </c>
      <c r="W123"/>
      <c r="X123"/>
      <c r="Y123"/>
      <c r="AC123"/>
    </row>
    <row r="124" spans="15:29">
      <c r="O124" s="72" t="s">
        <v>2666</v>
      </c>
      <c r="W124"/>
      <c r="X124"/>
      <c r="Y124"/>
      <c r="AC124"/>
    </row>
    <row r="125" spans="15:29">
      <c r="O125" s="72" t="s">
        <v>2667</v>
      </c>
      <c r="W125"/>
      <c r="X125"/>
      <c r="Y125"/>
      <c r="AC125"/>
    </row>
    <row r="126" spans="15:29">
      <c r="O126" s="72" t="s">
        <v>2668</v>
      </c>
      <c r="W126"/>
      <c r="X126"/>
      <c r="Y126"/>
      <c r="AC126"/>
    </row>
    <row r="127" spans="15:29">
      <c r="O127" s="72" t="s">
        <v>2669</v>
      </c>
    </row>
    <row r="128" spans="15:29">
      <c r="O128" s="72" t="s">
        <v>2670</v>
      </c>
    </row>
    <row r="129" spans="15:15">
      <c r="O129" s="72" t="s">
        <v>2671</v>
      </c>
    </row>
    <row r="130" spans="15:15">
      <c r="O130" s="72" t="s">
        <v>2672</v>
      </c>
    </row>
  </sheetData>
  <autoFilter ref="W1:Y127"/>
  <dataValidations disablePrompts="1" count="2">
    <dataValidation type="list" allowBlank="1" showInputMessage="1" showErrorMessage="1" sqref="G25">
      <formula1>OFFSET(#REF!,MATCH($G$24,#REF!,0),0,COUNTIF(#REF!,$G$24),1)</formula1>
    </dataValidation>
    <dataValidation type="list" allowBlank="1" showInputMessage="1" showErrorMessage="1" sqref="G24">
      <formula1>OFFSET($O$1,1,0,COUNTA($O$2:$O$34),1)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5"/>
  <dimension ref="A1:L972"/>
  <sheetViews>
    <sheetView topLeftCell="F10" zoomScale="50" zoomScaleNormal="50" workbookViewId="0">
      <selection activeCell="J27" sqref="J27"/>
    </sheetView>
  </sheetViews>
  <sheetFormatPr defaultColWidth="9.109375" defaultRowHeight="10.199999999999999"/>
  <cols>
    <col min="1" max="1" width="32.6640625" style="149" hidden="1" customWidth="1"/>
    <col min="2" max="2" width="55.109375" style="150" hidden="1" customWidth="1"/>
    <col min="3" max="3" width="62.33203125" style="150" hidden="1" customWidth="1"/>
    <col min="4" max="4" width="39.5546875" style="150" hidden="1" customWidth="1"/>
    <col min="5" max="5" width="0" style="4" hidden="1" customWidth="1"/>
    <col min="6" max="6" width="32.6640625" style="149" customWidth="1"/>
    <col min="7" max="7" width="9.109375" style="4"/>
    <col min="8" max="8" width="55.109375" style="4" bestFit="1" customWidth="1"/>
    <col min="9" max="9" width="9.109375" style="4"/>
    <col min="10" max="10" width="75" style="4" bestFit="1" customWidth="1"/>
    <col min="11" max="11" width="9.109375" style="4"/>
    <col min="12" max="12" width="66" style="4" bestFit="1" customWidth="1"/>
    <col min="13" max="16384" width="9.109375" style="4"/>
  </cols>
  <sheetData>
    <row r="1" spans="1:12" ht="12.6" thickBot="1">
      <c r="A1" s="140" t="s">
        <v>1738</v>
      </c>
      <c r="B1" s="140" t="s">
        <v>1740</v>
      </c>
      <c r="C1" s="140" t="s">
        <v>1742</v>
      </c>
      <c r="D1" s="141" t="s">
        <v>1744</v>
      </c>
      <c r="F1" s="140" t="s">
        <v>1738</v>
      </c>
      <c r="H1" s="140" t="s">
        <v>2382</v>
      </c>
      <c r="J1" s="14" t="s">
        <v>2383</v>
      </c>
    </row>
    <row r="2" spans="1:12" ht="12">
      <c r="A2" s="169" t="s">
        <v>1752</v>
      </c>
      <c r="B2" s="170" t="s">
        <v>1753</v>
      </c>
      <c r="C2" s="171" t="s">
        <v>1754</v>
      </c>
      <c r="D2" s="172"/>
      <c r="F2" s="152" t="s">
        <v>1752</v>
      </c>
      <c r="H2" s="152" t="s">
        <v>1753</v>
      </c>
      <c r="J2" s="152" t="s">
        <v>1754</v>
      </c>
      <c r="L2" s="140" t="s">
        <v>1773</v>
      </c>
    </row>
    <row r="3" spans="1:12">
      <c r="A3" s="173" t="s">
        <v>1752</v>
      </c>
      <c r="B3" s="174" t="s">
        <v>1753</v>
      </c>
      <c r="C3" s="175" t="s">
        <v>1755</v>
      </c>
      <c r="D3" s="176"/>
      <c r="F3" s="152" t="s">
        <v>1739</v>
      </c>
      <c r="H3" s="152" t="s">
        <v>1756</v>
      </c>
      <c r="J3" s="152" t="s">
        <v>1755</v>
      </c>
      <c r="L3" s="153" t="s">
        <v>1774</v>
      </c>
    </row>
    <row r="4" spans="1:12" ht="10.8" thickBot="1">
      <c r="A4" s="173" t="s">
        <v>1752</v>
      </c>
      <c r="B4" s="177" t="s">
        <v>1753</v>
      </c>
      <c r="C4" s="177" t="s">
        <v>1757</v>
      </c>
      <c r="D4" s="178"/>
      <c r="F4" s="160" t="s">
        <v>1758</v>
      </c>
      <c r="H4" s="152" t="s">
        <v>1759</v>
      </c>
      <c r="J4" s="152" t="s">
        <v>1757</v>
      </c>
    </row>
    <row r="5" spans="1:12" ht="13.8" thickBot="1">
      <c r="A5" s="173" t="s">
        <v>1752</v>
      </c>
      <c r="B5" s="175" t="s">
        <v>1756</v>
      </c>
      <c r="C5" s="175"/>
      <c r="D5" s="176"/>
      <c r="F5" s="160" t="s">
        <v>1760</v>
      </c>
      <c r="H5" s="2"/>
      <c r="L5" s="140" t="s">
        <v>1743</v>
      </c>
    </row>
    <row r="6" spans="1:12" ht="12.6" thickBot="1">
      <c r="A6" s="179" t="s">
        <v>1752</v>
      </c>
      <c r="B6" s="180" t="s">
        <v>1759</v>
      </c>
      <c r="C6" s="180"/>
      <c r="D6" s="181"/>
      <c r="F6" s="160" t="s">
        <v>1762</v>
      </c>
      <c r="H6" s="140" t="s">
        <v>1739</v>
      </c>
      <c r="J6" s="140" t="s">
        <v>2384</v>
      </c>
      <c r="L6" s="153" t="s">
        <v>1745</v>
      </c>
    </row>
    <row r="7" spans="1:12">
      <c r="A7" s="182" t="s">
        <v>1739</v>
      </c>
      <c r="B7" s="183" t="s">
        <v>1761</v>
      </c>
      <c r="C7" s="184" t="s">
        <v>1764</v>
      </c>
      <c r="D7" s="185"/>
      <c r="F7" s="160" t="s">
        <v>1765</v>
      </c>
      <c r="H7" s="152" t="s">
        <v>1761</v>
      </c>
      <c r="J7" s="152" t="s">
        <v>1764</v>
      </c>
      <c r="L7" s="153" t="s">
        <v>1777</v>
      </c>
    </row>
    <row r="8" spans="1:12" ht="10.8" thickBot="1">
      <c r="A8" s="182" t="s">
        <v>1739</v>
      </c>
      <c r="B8" s="186" t="s">
        <v>1761</v>
      </c>
      <c r="C8" s="186" t="s">
        <v>1766</v>
      </c>
      <c r="D8" s="187"/>
      <c r="F8" s="151" t="s">
        <v>1767</v>
      </c>
      <c r="H8" s="152" t="s">
        <v>1763</v>
      </c>
      <c r="J8" s="152" t="s">
        <v>1766</v>
      </c>
    </row>
    <row r="9" spans="1:12" ht="12.6" thickBot="1">
      <c r="A9" s="182" t="s">
        <v>1739</v>
      </c>
      <c r="B9" s="183" t="s">
        <v>1763</v>
      </c>
      <c r="C9" s="188" t="s">
        <v>1769</v>
      </c>
      <c r="D9" s="189"/>
      <c r="F9" s="4"/>
      <c r="H9" s="152" t="s">
        <v>1741</v>
      </c>
      <c r="L9" s="140" t="s">
        <v>1779</v>
      </c>
    </row>
    <row r="10" spans="1:12" ht="13.2">
      <c r="A10" s="182" t="s">
        <v>1739</v>
      </c>
      <c r="B10" s="186" t="s">
        <v>1763</v>
      </c>
      <c r="C10" s="186" t="s">
        <v>1771</v>
      </c>
      <c r="D10" s="187"/>
      <c r="F10"/>
      <c r="H10" s="152" t="s">
        <v>1768</v>
      </c>
      <c r="J10" s="140" t="s">
        <v>1763</v>
      </c>
      <c r="L10" s="153" t="s">
        <v>1780</v>
      </c>
    </row>
    <row r="11" spans="1:12" ht="13.2">
      <c r="A11" s="182" t="s">
        <v>1739</v>
      </c>
      <c r="B11" s="183" t="s">
        <v>1741</v>
      </c>
      <c r="C11" s="188" t="s">
        <v>1773</v>
      </c>
      <c r="D11" s="189" t="s">
        <v>1774</v>
      </c>
      <c r="F11"/>
      <c r="H11" s="152" t="s">
        <v>1770</v>
      </c>
      <c r="J11" s="152" t="s">
        <v>1769</v>
      </c>
      <c r="L11" s="153" t="s">
        <v>1783</v>
      </c>
    </row>
    <row r="12" spans="1:12" ht="13.2">
      <c r="A12" s="182" t="s">
        <v>1739</v>
      </c>
      <c r="B12" s="183" t="s">
        <v>1741</v>
      </c>
      <c r="C12" s="183" t="s">
        <v>1743</v>
      </c>
      <c r="D12" s="189" t="s">
        <v>1745</v>
      </c>
      <c r="F12"/>
      <c r="H12" s="152" t="s">
        <v>1772</v>
      </c>
      <c r="J12" s="152" t="s">
        <v>1771</v>
      </c>
      <c r="L12" s="153" t="s">
        <v>1786</v>
      </c>
    </row>
    <row r="13" spans="1:12" ht="13.8" thickBot="1">
      <c r="A13" s="182" t="s">
        <v>1739</v>
      </c>
      <c r="B13" s="186" t="s">
        <v>1741</v>
      </c>
      <c r="C13" s="186" t="s">
        <v>1743</v>
      </c>
      <c r="D13" s="189" t="s">
        <v>1777</v>
      </c>
      <c r="F13"/>
      <c r="H13" s="152" t="s">
        <v>1775</v>
      </c>
      <c r="L13" s="153" t="s">
        <v>1789</v>
      </c>
    </row>
    <row r="14" spans="1:12" ht="13.8" thickBot="1">
      <c r="A14" s="182" t="s">
        <v>1739</v>
      </c>
      <c r="B14" s="183" t="s">
        <v>1768</v>
      </c>
      <c r="C14" s="183" t="s">
        <v>1779</v>
      </c>
      <c r="D14" s="189" t="s">
        <v>1780</v>
      </c>
      <c r="F14"/>
      <c r="H14" s="152" t="s">
        <v>1776</v>
      </c>
      <c r="J14" s="140" t="s">
        <v>2385</v>
      </c>
    </row>
    <row r="15" spans="1:12" ht="13.2">
      <c r="A15" s="182" t="s">
        <v>1739</v>
      </c>
      <c r="B15" s="183" t="s">
        <v>1768</v>
      </c>
      <c r="C15" s="183" t="s">
        <v>1779</v>
      </c>
      <c r="D15" s="189" t="s">
        <v>1783</v>
      </c>
      <c r="F15"/>
      <c r="H15" s="152" t="s">
        <v>1778</v>
      </c>
      <c r="J15" s="152" t="s">
        <v>1773</v>
      </c>
      <c r="L15" s="140" t="s">
        <v>1782</v>
      </c>
    </row>
    <row r="16" spans="1:12" ht="13.2">
      <c r="A16" s="182" t="s">
        <v>1739</v>
      </c>
      <c r="B16" s="183" t="s">
        <v>1768</v>
      </c>
      <c r="C16" s="183" t="s">
        <v>1779</v>
      </c>
      <c r="D16" s="189" t="s">
        <v>1786</v>
      </c>
      <c r="F16"/>
      <c r="H16" s="152" t="s">
        <v>1781</v>
      </c>
      <c r="J16" s="152" t="s">
        <v>1743</v>
      </c>
      <c r="L16" s="153" t="s">
        <v>1792</v>
      </c>
    </row>
    <row r="17" spans="1:12" ht="13.8" thickBot="1">
      <c r="A17" s="182" t="s">
        <v>1739</v>
      </c>
      <c r="B17" s="183" t="s">
        <v>1768</v>
      </c>
      <c r="C17" s="186" t="s">
        <v>1779</v>
      </c>
      <c r="D17" s="189" t="s">
        <v>1789</v>
      </c>
      <c r="F17"/>
      <c r="H17" s="152" t="s">
        <v>1784</v>
      </c>
      <c r="L17" s="153" t="s">
        <v>1795</v>
      </c>
    </row>
    <row r="18" spans="1:12" ht="13.2">
      <c r="A18" s="182" t="s">
        <v>1739</v>
      </c>
      <c r="B18" s="183" t="s">
        <v>1768</v>
      </c>
      <c r="C18" s="183" t="s">
        <v>1782</v>
      </c>
      <c r="D18" s="189" t="s">
        <v>1792</v>
      </c>
      <c r="F18"/>
      <c r="H18" s="152" t="s">
        <v>1787</v>
      </c>
      <c r="J18" s="140" t="s">
        <v>2386</v>
      </c>
      <c r="L18" s="153" t="s">
        <v>1798</v>
      </c>
    </row>
    <row r="19" spans="1:12" ht="11.25" customHeight="1" thickBot="1">
      <c r="A19" s="182" t="s">
        <v>1739</v>
      </c>
      <c r="B19" s="183" t="s">
        <v>1768</v>
      </c>
      <c r="C19" s="183" t="s">
        <v>1782</v>
      </c>
      <c r="D19" s="189" t="s">
        <v>1795</v>
      </c>
      <c r="F19"/>
      <c r="H19"/>
      <c r="J19" s="152" t="s">
        <v>1779</v>
      </c>
      <c r="L19" s="153" t="s">
        <v>1801</v>
      </c>
    </row>
    <row r="20" spans="1:12" ht="11.25" customHeight="1">
      <c r="A20" s="182" t="s">
        <v>1739</v>
      </c>
      <c r="B20" s="183" t="s">
        <v>1768</v>
      </c>
      <c r="C20" s="183" t="s">
        <v>1782</v>
      </c>
      <c r="D20" s="189" t="s">
        <v>1798</v>
      </c>
      <c r="F20"/>
      <c r="H20" s="140" t="s">
        <v>1758</v>
      </c>
      <c r="J20" s="152" t="s">
        <v>1782</v>
      </c>
      <c r="L20" s="153" t="s">
        <v>1789</v>
      </c>
    </row>
    <row r="21" spans="1:12" ht="11.25" customHeight="1" thickBot="1">
      <c r="A21" s="182" t="s">
        <v>1739</v>
      </c>
      <c r="B21" s="183" t="s">
        <v>1768</v>
      </c>
      <c r="C21" s="183" t="s">
        <v>1782</v>
      </c>
      <c r="D21" s="189" t="s">
        <v>1801</v>
      </c>
      <c r="F21"/>
      <c r="H21" s="160" t="s">
        <v>1790</v>
      </c>
      <c r="J21" s="152" t="s">
        <v>1785</v>
      </c>
    </row>
    <row r="22" spans="1:12" ht="11.25" customHeight="1">
      <c r="A22" s="182" t="s">
        <v>1739</v>
      </c>
      <c r="B22" s="183" t="s">
        <v>1768</v>
      </c>
      <c r="C22" s="186" t="s">
        <v>1782</v>
      </c>
      <c r="D22" s="189" t="s">
        <v>1789</v>
      </c>
      <c r="F22"/>
      <c r="H22" s="160" t="s">
        <v>1793</v>
      </c>
      <c r="J22" s="152" t="s">
        <v>1788</v>
      </c>
      <c r="L22" s="140" t="s">
        <v>2387</v>
      </c>
    </row>
    <row r="23" spans="1:12" ht="11.25" customHeight="1">
      <c r="A23" s="182" t="s">
        <v>1739</v>
      </c>
      <c r="B23" s="183" t="s">
        <v>1768</v>
      </c>
      <c r="C23" s="183" t="s">
        <v>1785</v>
      </c>
      <c r="D23" s="189" t="s">
        <v>1805</v>
      </c>
      <c r="F23"/>
      <c r="H23" s="160" t="s">
        <v>1796</v>
      </c>
      <c r="J23" s="152" t="s">
        <v>1791</v>
      </c>
      <c r="L23" s="153" t="s">
        <v>1805</v>
      </c>
    </row>
    <row r="24" spans="1:12" ht="11.25" customHeight="1">
      <c r="A24" s="182" t="s">
        <v>1739</v>
      </c>
      <c r="B24" s="183" t="s">
        <v>1768</v>
      </c>
      <c r="C24" s="183" t="s">
        <v>1785</v>
      </c>
      <c r="D24" s="189" t="s">
        <v>1808</v>
      </c>
      <c r="F24"/>
      <c r="H24" s="160" t="s">
        <v>1799</v>
      </c>
      <c r="J24" s="152" t="s">
        <v>1794</v>
      </c>
      <c r="L24" s="153" t="s">
        <v>1808</v>
      </c>
    </row>
    <row r="25" spans="1:12" ht="11.25" customHeight="1" thickBot="1">
      <c r="A25" s="182" t="s">
        <v>1739</v>
      </c>
      <c r="B25" s="183" t="s">
        <v>1768</v>
      </c>
      <c r="C25" s="183" t="s">
        <v>1785</v>
      </c>
      <c r="D25" s="189" t="s">
        <v>1811</v>
      </c>
      <c r="F25"/>
      <c r="H25"/>
      <c r="L25" s="153" t="s">
        <v>1811</v>
      </c>
    </row>
    <row r="26" spans="1:12" ht="11.25" customHeight="1">
      <c r="A26" s="182" t="s">
        <v>1739</v>
      </c>
      <c r="B26" s="183" t="s">
        <v>1768</v>
      </c>
      <c r="C26" s="183" t="s">
        <v>1785</v>
      </c>
      <c r="D26" s="189" t="s">
        <v>1814</v>
      </c>
      <c r="F26"/>
      <c r="H26" s="140" t="s">
        <v>1762</v>
      </c>
      <c r="J26" s="140" t="s">
        <v>2389</v>
      </c>
      <c r="L26" s="153" t="s">
        <v>1814</v>
      </c>
    </row>
    <row r="27" spans="1:12" ht="11.25" customHeight="1">
      <c r="A27" s="182" t="s">
        <v>1739</v>
      </c>
      <c r="B27" s="183" t="s">
        <v>1768</v>
      </c>
      <c r="C27" s="186" t="s">
        <v>1785</v>
      </c>
      <c r="D27" s="189" t="s">
        <v>1789</v>
      </c>
      <c r="F27"/>
      <c r="H27" s="152" t="s">
        <v>1803</v>
      </c>
      <c r="J27" s="152" t="s">
        <v>1797</v>
      </c>
      <c r="L27" s="153" t="s">
        <v>1789</v>
      </c>
    </row>
    <row r="28" spans="1:12" ht="11.25" customHeight="1" thickBot="1">
      <c r="A28" s="182" t="s">
        <v>1739</v>
      </c>
      <c r="B28" s="183" t="s">
        <v>1768</v>
      </c>
      <c r="C28" s="188" t="s">
        <v>1788</v>
      </c>
      <c r="D28" s="189"/>
      <c r="F28"/>
      <c r="H28" s="152" t="s">
        <v>1806</v>
      </c>
      <c r="J28" s="152" t="s">
        <v>1800</v>
      </c>
    </row>
    <row r="29" spans="1:12" ht="11.25" customHeight="1">
      <c r="A29" s="182" t="s">
        <v>1739</v>
      </c>
      <c r="B29" s="183" t="s">
        <v>1768</v>
      </c>
      <c r="C29" s="183" t="s">
        <v>1791</v>
      </c>
      <c r="D29" s="189" t="s">
        <v>1821</v>
      </c>
      <c r="F29"/>
      <c r="H29" s="152" t="s">
        <v>1809</v>
      </c>
      <c r="J29" s="152" t="s">
        <v>1802</v>
      </c>
      <c r="L29" s="140" t="s">
        <v>2388</v>
      </c>
    </row>
    <row r="30" spans="1:12" ht="11.25" customHeight="1">
      <c r="A30" s="182" t="s">
        <v>1739</v>
      </c>
      <c r="B30" s="183" t="s">
        <v>1768</v>
      </c>
      <c r="C30" s="183" t="s">
        <v>1791</v>
      </c>
      <c r="D30" s="189" t="s">
        <v>1824</v>
      </c>
      <c r="F30"/>
      <c r="H30" s="152" t="s">
        <v>1812</v>
      </c>
      <c r="J30" s="152" t="s">
        <v>1804</v>
      </c>
      <c r="L30" s="153" t="s">
        <v>1821</v>
      </c>
    </row>
    <row r="31" spans="1:12" ht="11.25" customHeight="1">
      <c r="A31" s="182" t="s">
        <v>1739</v>
      </c>
      <c r="B31" s="183" t="s">
        <v>1768</v>
      </c>
      <c r="C31" s="183" t="s">
        <v>1791</v>
      </c>
      <c r="D31" s="189" t="s">
        <v>1827</v>
      </c>
      <c r="F31"/>
      <c r="H31" s="152" t="s">
        <v>1815</v>
      </c>
      <c r="J31" s="152" t="s">
        <v>1807</v>
      </c>
      <c r="L31" s="153" t="s">
        <v>1824</v>
      </c>
    </row>
    <row r="32" spans="1:12" ht="11.25" customHeight="1" thickBot="1">
      <c r="A32" s="182" t="s">
        <v>1739</v>
      </c>
      <c r="B32" s="183" t="s">
        <v>1768</v>
      </c>
      <c r="C32" s="186" t="s">
        <v>1791</v>
      </c>
      <c r="D32" s="189" t="s">
        <v>1789</v>
      </c>
      <c r="F32"/>
      <c r="H32"/>
      <c r="J32"/>
      <c r="L32" s="153" t="s">
        <v>1827</v>
      </c>
    </row>
    <row r="33" spans="1:12" ht="11.25" customHeight="1">
      <c r="A33" s="182" t="s">
        <v>1739</v>
      </c>
      <c r="B33" s="186" t="s">
        <v>1768</v>
      </c>
      <c r="C33" s="188" t="s">
        <v>1794</v>
      </c>
      <c r="D33" s="189"/>
      <c r="F33"/>
      <c r="H33" s="140" t="s">
        <v>1765</v>
      </c>
      <c r="J33" s="140" t="s">
        <v>2391</v>
      </c>
      <c r="L33" s="153" t="s">
        <v>1789</v>
      </c>
    </row>
    <row r="34" spans="1:12" ht="11.25" customHeight="1" thickBot="1">
      <c r="A34" s="182" t="s">
        <v>1739</v>
      </c>
      <c r="B34" s="183" t="s">
        <v>1770</v>
      </c>
      <c r="C34" s="183" t="s">
        <v>1797</v>
      </c>
      <c r="D34" s="189" t="s">
        <v>1831</v>
      </c>
      <c r="F34"/>
      <c r="H34" s="152" t="s">
        <v>1817</v>
      </c>
      <c r="J34" s="152" t="s">
        <v>1810</v>
      </c>
    </row>
    <row r="35" spans="1:12" ht="11.25" customHeight="1">
      <c r="A35" s="182" t="s">
        <v>1739</v>
      </c>
      <c r="B35" s="183" t="s">
        <v>1770</v>
      </c>
      <c r="C35" s="183" t="s">
        <v>1797</v>
      </c>
      <c r="D35" s="189" t="s">
        <v>1833</v>
      </c>
      <c r="F35"/>
      <c r="H35" s="152" t="s">
        <v>1819</v>
      </c>
      <c r="J35" s="152" t="s">
        <v>1813</v>
      </c>
      <c r="L35" s="140" t="s">
        <v>2390</v>
      </c>
    </row>
    <row r="36" spans="1:12" ht="11.25" customHeight="1">
      <c r="A36" s="182" t="s">
        <v>1739</v>
      </c>
      <c r="B36" s="183" t="s">
        <v>1770</v>
      </c>
      <c r="C36" s="186" t="s">
        <v>1797</v>
      </c>
      <c r="D36" s="189" t="s">
        <v>1789</v>
      </c>
      <c r="F36"/>
      <c r="H36" s="152" t="s">
        <v>1822</v>
      </c>
      <c r="J36" s="152" t="s">
        <v>1816</v>
      </c>
      <c r="L36" s="153" t="s">
        <v>1831</v>
      </c>
    </row>
    <row r="37" spans="1:12" ht="11.25" customHeight="1">
      <c r="A37" s="182" t="s">
        <v>1739</v>
      </c>
      <c r="B37" s="183" t="s">
        <v>1770</v>
      </c>
      <c r="C37" s="188" t="s">
        <v>1800</v>
      </c>
      <c r="D37" s="189"/>
      <c r="F37"/>
      <c r="H37" s="152" t="s">
        <v>1825</v>
      </c>
      <c r="J37" s="152" t="s">
        <v>1818</v>
      </c>
      <c r="L37" s="153" t="s">
        <v>1833</v>
      </c>
    </row>
    <row r="38" spans="1:12" ht="11.25" customHeight="1">
      <c r="A38" s="182" t="s">
        <v>1739</v>
      </c>
      <c r="B38" s="183" t="s">
        <v>1770</v>
      </c>
      <c r="C38" s="188" t="s">
        <v>1802</v>
      </c>
      <c r="D38" s="189"/>
      <c r="F38"/>
      <c r="H38"/>
      <c r="J38" s="152" t="s">
        <v>1820</v>
      </c>
      <c r="L38" s="153" t="s">
        <v>1789</v>
      </c>
    </row>
    <row r="39" spans="1:12" ht="11.25" customHeight="1" thickBot="1">
      <c r="A39" s="182" t="s">
        <v>1739</v>
      </c>
      <c r="B39" s="183" t="s">
        <v>1770</v>
      </c>
      <c r="C39" s="188" t="s">
        <v>1804</v>
      </c>
      <c r="D39" s="189"/>
      <c r="F39"/>
      <c r="H39"/>
      <c r="J39"/>
    </row>
    <row r="40" spans="1:12" ht="11.25" customHeight="1">
      <c r="A40" s="182" t="s">
        <v>1739</v>
      </c>
      <c r="B40" s="183" t="s">
        <v>1770</v>
      </c>
      <c r="C40" s="188" t="s">
        <v>1807</v>
      </c>
      <c r="D40" s="189"/>
      <c r="F40"/>
      <c r="H40"/>
      <c r="J40" s="140" t="s">
        <v>1775</v>
      </c>
      <c r="L40" s="140" t="s">
        <v>2392</v>
      </c>
    </row>
    <row r="41" spans="1:12" ht="11.25" customHeight="1">
      <c r="A41" s="182" t="s">
        <v>1739</v>
      </c>
      <c r="B41" s="183" t="s">
        <v>1772</v>
      </c>
      <c r="C41" s="183" t="s">
        <v>1810</v>
      </c>
      <c r="D41" s="189" t="s">
        <v>1840</v>
      </c>
      <c r="F41"/>
      <c r="H41"/>
      <c r="J41" s="152" t="s">
        <v>1823</v>
      </c>
      <c r="L41" s="153" t="s">
        <v>1840</v>
      </c>
    </row>
    <row r="42" spans="1:12" ht="11.25" customHeight="1">
      <c r="A42" s="182" t="s">
        <v>1739</v>
      </c>
      <c r="B42" s="183" t="s">
        <v>1772</v>
      </c>
      <c r="C42" s="183" t="s">
        <v>1810</v>
      </c>
      <c r="D42" s="189" t="s">
        <v>1842</v>
      </c>
      <c r="F42"/>
      <c r="H42"/>
      <c r="J42" s="152" t="s">
        <v>1826</v>
      </c>
      <c r="L42" s="153" t="s">
        <v>1842</v>
      </c>
    </row>
    <row r="43" spans="1:12" ht="11.25" customHeight="1">
      <c r="A43" s="182" t="s">
        <v>1739</v>
      </c>
      <c r="B43" s="183" t="s">
        <v>1772</v>
      </c>
      <c r="C43" s="183" t="s">
        <v>1810</v>
      </c>
      <c r="D43" s="189" t="s">
        <v>1844</v>
      </c>
      <c r="F43"/>
      <c r="H43"/>
      <c r="J43" s="152" t="s">
        <v>1828</v>
      </c>
      <c r="L43" s="153" t="s">
        <v>1844</v>
      </c>
    </row>
    <row r="44" spans="1:12" ht="11.25" customHeight="1" thickBot="1">
      <c r="A44" s="182" t="s">
        <v>1739</v>
      </c>
      <c r="B44" s="183" t="s">
        <v>1772</v>
      </c>
      <c r="C44" s="183" t="s">
        <v>1810</v>
      </c>
      <c r="D44" s="189" t="s">
        <v>1846</v>
      </c>
      <c r="F44"/>
      <c r="H44"/>
      <c r="J44"/>
      <c r="L44" s="153" t="s">
        <v>1846</v>
      </c>
    </row>
    <row r="45" spans="1:12" ht="11.25" customHeight="1">
      <c r="A45" s="182" t="s">
        <v>1739</v>
      </c>
      <c r="B45" s="183" t="s">
        <v>1772</v>
      </c>
      <c r="C45" s="186" t="s">
        <v>1810</v>
      </c>
      <c r="D45" s="189" t="s">
        <v>1789</v>
      </c>
      <c r="F45"/>
      <c r="H45"/>
      <c r="J45" s="140" t="s">
        <v>1776</v>
      </c>
      <c r="L45" s="153" t="s">
        <v>1789</v>
      </c>
    </row>
    <row r="46" spans="1:12" ht="11.25" customHeight="1" thickBot="1">
      <c r="A46" s="182" t="s">
        <v>1739</v>
      </c>
      <c r="B46" s="183" t="s">
        <v>1772</v>
      </c>
      <c r="C46" s="183" t="s">
        <v>1813</v>
      </c>
      <c r="D46" s="189" t="s">
        <v>1849</v>
      </c>
      <c r="F46"/>
      <c r="H46"/>
      <c r="J46" s="152" t="s">
        <v>1830</v>
      </c>
    </row>
    <row r="47" spans="1:12" ht="13.8" thickBot="1">
      <c r="A47" s="182" t="s">
        <v>1739</v>
      </c>
      <c r="B47" s="183" t="s">
        <v>1772</v>
      </c>
      <c r="C47" s="183" t="s">
        <v>1813</v>
      </c>
      <c r="D47" s="189" t="s">
        <v>1851</v>
      </c>
      <c r="F47"/>
      <c r="H47"/>
      <c r="J47"/>
      <c r="L47" s="140" t="s">
        <v>2393</v>
      </c>
    </row>
    <row r="48" spans="1:12" ht="13.2">
      <c r="A48" s="182" t="s">
        <v>1739</v>
      </c>
      <c r="B48" s="183" t="s">
        <v>1772</v>
      </c>
      <c r="C48" s="183" t="s">
        <v>1813</v>
      </c>
      <c r="D48" s="189" t="s">
        <v>1853</v>
      </c>
      <c r="F48"/>
      <c r="H48"/>
      <c r="J48" s="140" t="s">
        <v>1778</v>
      </c>
      <c r="L48" s="153" t="s">
        <v>1849</v>
      </c>
    </row>
    <row r="49" spans="1:12" ht="13.2">
      <c r="A49" s="182" t="s">
        <v>1739</v>
      </c>
      <c r="B49" s="183" t="s">
        <v>1772</v>
      </c>
      <c r="C49" s="186" t="s">
        <v>1813</v>
      </c>
      <c r="D49" s="189" t="s">
        <v>1789</v>
      </c>
      <c r="F49"/>
      <c r="H49"/>
      <c r="J49" s="152" t="s">
        <v>1832</v>
      </c>
      <c r="L49" s="153" t="s">
        <v>1851</v>
      </c>
    </row>
    <row r="50" spans="1:12" ht="13.2">
      <c r="A50" s="182" t="s">
        <v>1739</v>
      </c>
      <c r="B50" s="183" t="s">
        <v>1772</v>
      </c>
      <c r="C50" s="183" t="s">
        <v>1816</v>
      </c>
      <c r="D50" s="189" t="s">
        <v>1856</v>
      </c>
      <c r="F50"/>
      <c r="H50"/>
      <c r="J50" s="152" t="s">
        <v>1834</v>
      </c>
      <c r="L50" s="153" t="s">
        <v>1853</v>
      </c>
    </row>
    <row r="51" spans="1:12" ht="13.2">
      <c r="A51" s="182" t="s">
        <v>1739</v>
      </c>
      <c r="B51" s="183" t="s">
        <v>1772</v>
      </c>
      <c r="C51" s="183" t="s">
        <v>1816</v>
      </c>
      <c r="D51" s="190" t="s">
        <v>1858</v>
      </c>
      <c r="F51"/>
      <c r="H51"/>
      <c r="J51" s="152" t="s">
        <v>1835</v>
      </c>
      <c r="L51" s="153" t="s">
        <v>1789</v>
      </c>
    </row>
    <row r="52" spans="1:12" ht="13.8" thickBot="1">
      <c r="A52" s="182" t="s">
        <v>1739</v>
      </c>
      <c r="B52" s="183" t="s">
        <v>1772</v>
      </c>
      <c r="C52" s="183" t="s">
        <v>1816</v>
      </c>
      <c r="D52" s="190" t="s">
        <v>1860</v>
      </c>
      <c r="F52"/>
      <c r="H52"/>
      <c r="J52" s="152" t="s">
        <v>1836</v>
      </c>
    </row>
    <row r="53" spans="1:12" ht="13.8" thickBot="1">
      <c r="A53" s="182" t="s">
        <v>1739</v>
      </c>
      <c r="B53" s="183" t="s">
        <v>1772</v>
      </c>
      <c r="C53" s="183" t="s">
        <v>1816</v>
      </c>
      <c r="D53" s="190" t="s">
        <v>1862</v>
      </c>
      <c r="F53"/>
      <c r="H53"/>
      <c r="J53"/>
      <c r="L53" s="140" t="s">
        <v>2394</v>
      </c>
    </row>
    <row r="54" spans="1:12" ht="13.2">
      <c r="A54" s="182" t="s">
        <v>1739</v>
      </c>
      <c r="B54" s="183" t="s">
        <v>1772</v>
      </c>
      <c r="C54" s="186" t="s">
        <v>1816</v>
      </c>
      <c r="D54" s="190" t="s">
        <v>1789</v>
      </c>
      <c r="F54"/>
      <c r="H54"/>
      <c r="J54" s="140" t="s">
        <v>2398</v>
      </c>
      <c r="L54" s="153" t="s">
        <v>1856</v>
      </c>
    </row>
    <row r="55" spans="1:12" ht="13.2">
      <c r="A55" s="182" t="s">
        <v>1739</v>
      </c>
      <c r="B55" s="183" t="s">
        <v>1772</v>
      </c>
      <c r="C55" s="191" t="s">
        <v>1818</v>
      </c>
      <c r="D55" s="190" t="s">
        <v>1865</v>
      </c>
      <c r="F55"/>
      <c r="H55"/>
      <c r="J55" s="152" t="s">
        <v>1835</v>
      </c>
      <c r="L55" s="153" t="s">
        <v>1858</v>
      </c>
    </row>
    <row r="56" spans="1:12" ht="13.2">
      <c r="A56" s="182" t="s">
        <v>1739</v>
      </c>
      <c r="B56" s="183" t="s">
        <v>1772</v>
      </c>
      <c r="C56" s="191" t="s">
        <v>1818</v>
      </c>
      <c r="D56" s="190" t="s">
        <v>1867</v>
      </c>
      <c r="F56"/>
      <c r="H56"/>
      <c r="J56" s="152" t="s">
        <v>1836</v>
      </c>
      <c r="L56" s="153" t="s">
        <v>1860</v>
      </c>
    </row>
    <row r="57" spans="1:12" ht="13.8" thickBot="1">
      <c r="A57" s="182" t="s">
        <v>1739</v>
      </c>
      <c r="B57" s="183" t="s">
        <v>1772</v>
      </c>
      <c r="C57" s="192" t="s">
        <v>1818</v>
      </c>
      <c r="D57" s="190" t="s">
        <v>1869</v>
      </c>
      <c r="F57"/>
      <c r="H57"/>
      <c r="J57"/>
      <c r="L57" s="153" t="s">
        <v>1862</v>
      </c>
    </row>
    <row r="58" spans="1:12" ht="13.2">
      <c r="A58" s="182" t="s">
        <v>1739</v>
      </c>
      <c r="B58" s="183" t="s">
        <v>1772</v>
      </c>
      <c r="C58" s="191" t="s">
        <v>1820</v>
      </c>
      <c r="D58" s="190" t="s">
        <v>1871</v>
      </c>
      <c r="F58"/>
      <c r="H58"/>
      <c r="J58" s="140" t="s">
        <v>1784</v>
      </c>
      <c r="L58" s="153" t="s">
        <v>1789</v>
      </c>
    </row>
    <row r="59" spans="1:12" ht="13.8" thickBot="1">
      <c r="A59" s="182" t="s">
        <v>1739</v>
      </c>
      <c r="B59" s="183" t="s">
        <v>1772</v>
      </c>
      <c r="C59" s="191" t="s">
        <v>1820</v>
      </c>
      <c r="D59" s="193" t="s">
        <v>1873</v>
      </c>
      <c r="F59"/>
      <c r="H59" s="2"/>
      <c r="J59" s="152" t="s">
        <v>1837</v>
      </c>
    </row>
    <row r="60" spans="1:12" ht="13.2">
      <c r="A60" s="182" t="s">
        <v>1739</v>
      </c>
      <c r="B60" s="210" t="s">
        <v>1775</v>
      </c>
      <c r="C60" s="211" t="s">
        <v>1823</v>
      </c>
      <c r="D60" s="212" t="s">
        <v>1875</v>
      </c>
      <c r="F60"/>
      <c r="H60" s="2"/>
      <c r="J60" s="152" t="s">
        <v>1838</v>
      </c>
      <c r="L60" s="140" t="s">
        <v>2395</v>
      </c>
    </row>
    <row r="61" spans="1:12" ht="13.2">
      <c r="A61" s="182" t="s">
        <v>1739</v>
      </c>
      <c r="B61" s="213" t="s">
        <v>1775</v>
      </c>
      <c r="C61" s="214" t="s">
        <v>1823</v>
      </c>
      <c r="D61" s="215" t="s">
        <v>1877</v>
      </c>
      <c r="F61"/>
      <c r="H61" s="2"/>
      <c r="J61" s="152" t="s">
        <v>1839</v>
      </c>
      <c r="L61" s="153" t="s">
        <v>1865</v>
      </c>
    </row>
    <row r="62" spans="1:12" ht="13.8" thickBot="1">
      <c r="A62" s="182" t="s">
        <v>1739</v>
      </c>
      <c r="B62" s="213" t="s">
        <v>1775</v>
      </c>
      <c r="C62" s="214" t="s">
        <v>1823</v>
      </c>
      <c r="D62" s="215" t="s">
        <v>1879</v>
      </c>
      <c r="F62"/>
      <c r="H62" s="2"/>
      <c r="L62" s="153" t="s">
        <v>1867</v>
      </c>
    </row>
    <row r="63" spans="1:12" ht="13.2">
      <c r="A63" s="182" t="s">
        <v>1739</v>
      </c>
      <c r="B63" s="213" t="s">
        <v>1775</v>
      </c>
      <c r="C63" s="214" t="s">
        <v>1823</v>
      </c>
      <c r="D63" s="215" t="s">
        <v>1881</v>
      </c>
      <c r="F63"/>
      <c r="H63" s="2"/>
      <c r="J63" s="140" t="s">
        <v>1787</v>
      </c>
      <c r="L63" s="153" t="s">
        <v>1869</v>
      </c>
    </row>
    <row r="64" spans="1:12" ht="13.8" thickBot="1">
      <c r="A64" s="182" t="s">
        <v>1739</v>
      </c>
      <c r="B64" s="213" t="s">
        <v>1775</v>
      </c>
      <c r="C64" s="216" t="s">
        <v>1823</v>
      </c>
      <c r="D64" s="215" t="s">
        <v>1883</v>
      </c>
      <c r="F64"/>
      <c r="H64" s="2"/>
      <c r="J64" s="152" t="s">
        <v>1841</v>
      </c>
    </row>
    <row r="65" spans="1:12" ht="13.2">
      <c r="A65" s="182" t="s">
        <v>1739</v>
      </c>
      <c r="B65" s="213" t="s">
        <v>1775</v>
      </c>
      <c r="C65" s="217" t="s">
        <v>1826</v>
      </c>
      <c r="D65" s="215"/>
      <c r="F65"/>
      <c r="H65" s="2"/>
      <c r="J65" s="152" t="s">
        <v>1843</v>
      </c>
      <c r="L65" s="140" t="s">
        <v>1820</v>
      </c>
    </row>
    <row r="66" spans="1:12" ht="13.8" thickBot="1">
      <c r="A66" s="182" t="s">
        <v>1739</v>
      </c>
      <c r="B66" s="218" t="s">
        <v>1775</v>
      </c>
      <c r="C66" s="219" t="s">
        <v>1828</v>
      </c>
      <c r="D66" s="220"/>
      <c r="F66"/>
      <c r="H66" s="2"/>
      <c r="J66" s="152" t="s">
        <v>1845</v>
      </c>
      <c r="L66" s="153" t="s">
        <v>1871</v>
      </c>
    </row>
    <row r="67" spans="1:12" ht="13.8" thickBot="1">
      <c r="A67" s="182" t="s">
        <v>1739</v>
      </c>
      <c r="B67" s="194" t="s">
        <v>1776</v>
      </c>
      <c r="C67" s="204" t="s">
        <v>1829</v>
      </c>
      <c r="D67" s="196"/>
      <c r="F67"/>
      <c r="H67" s="2"/>
      <c r="L67" s="153" t="s">
        <v>1873</v>
      </c>
    </row>
    <row r="68" spans="1:12" ht="13.8" thickBot="1">
      <c r="A68" s="182" t="s">
        <v>1739</v>
      </c>
      <c r="B68" s="201" t="s">
        <v>1776</v>
      </c>
      <c r="C68" s="202" t="s">
        <v>1830</v>
      </c>
      <c r="D68" s="203"/>
      <c r="F68"/>
      <c r="H68" s="2"/>
      <c r="J68" s="140" t="s">
        <v>2399</v>
      </c>
    </row>
    <row r="69" spans="1:12" ht="13.2">
      <c r="A69" s="182" t="s">
        <v>1739</v>
      </c>
      <c r="B69" s="210" t="s">
        <v>1778</v>
      </c>
      <c r="C69" s="211" t="s">
        <v>1832</v>
      </c>
      <c r="D69" s="212" t="s">
        <v>1884</v>
      </c>
      <c r="F69"/>
      <c r="H69"/>
      <c r="J69" s="152" t="s">
        <v>1847</v>
      </c>
      <c r="L69" s="140" t="s">
        <v>2396</v>
      </c>
    </row>
    <row r="70" spans="1:12" ht="13.2">
      <c r="A70" s="182" t="s">
        <v>1739</v>
      </c>
      <c r="B70" s="213" t="s">
        <v>1778</v>
      </c>
      <c r="C70" s="214" t="s">
        <v>1832</v>
      </c>
      <c r="D70" s="221" t="s">
        <v>1885</v>
      </c>
      <c r="F70"/>
      <c r="H70"/>
      <c r="J70" s="152" t="s">
        <v>1848</v>
      </c>
      <c r="L70" s="153" t="s">
        <v>1875</v>
      </c>
    </row>
    <row r="71" spans="1:12" ht="13.8" thickBot="1">
      <c r="A71" s="182" t="s">
        <v>1739</v>
      </c>
      <c r="B71" s="213" t="s">
        <v>1778</v>
      </c>
      <c r="C71" s="216" t="s">
        <v>1832</v>
      </c>
      <c r="D71" s="221" t="s">
        <v>1886</v>
      </c>
      <c r="F71"/>
      <c r="H71"/>
      <c r="J71"/>
      <c r="L71" s="153" t="s">
        <v>1877</v>
      </c>
    </row>
    <row r="72" spans="1:12" ht="13.2">
      <c r="A72" s="182" t="s">
        <v>1739</v>
      </c>
      <c r="B72" s="213" t="s">
        <v>1778</v>
      </c>
      <c r="C72" s="214" t="s">
        <v>1834</v>
      </c>
      <c r="D72" s="215" t="s">
        <v>1887</v>
      </c>
      <c r="F72"/>
      <c r="H72"/>
      <c r="J72" s="140" t="s">
        <v>1793</v>
      </c>
      <c r="L72" s="153" t="s">
        <v>1879</v>
      </c>
    </row>
    <row r="73" spans="1:12" ht="13.2">
      <c r="A73" s="182" t="s">
        <v>1739</v>
      </c>
      <c r="B73" s="213" t="s">
        <v>1778</v>
      </c>
      <c r="C73" s="214" t="s">
        <v>1834</v>
      </c>
      <c r="D73" s="221" t="s">
        <v>1888</v>
      </c>
      <c r="F73"/>
      <c r="H73"/>
      <c r="J73" s="152" t="s">
        <v>1850</v>
      </c>
      <c r="L73" s="153" t="s">
        <v>1881</v>
      </c>
    </row>
    <row r="74" spans="1:12" ht="13.2">
      <c r="A74" s="182" t="s">
        <v>1739</v>
      </c>
      <c r="B74" s="213" t="s">
        <v>1778</v>
      </c>
      <c r="C74" s="216" t="s">
        <v>1834</v>
      </c>
      <c r="D74" s="221" t="s">
        <v>1889</v>
      </c>
      <c r="F74"/>
      <c r="H74"/>
      <c r="J74" s="152" t="s">
        <v>1852</v>
      </c>
      <c r="L74" s="153" t="s">
        <v>1883</v>
      </c>
    </row>
    <row r="75" spans="1:12" ht="13.8" thickBot="1">
      <c r="A75" s="182" t="s">
        <v>1739</v>
      </c>
      <c r="B75" s="213" t="s">
        <v>1781</v>
      </c>
      <c r="C75" s="214" t="s">
        <v>1835</v>
      </c>
      <c r="D75" s="215" t="s">
        <v>1890</v>
      </c>
      <c r="F75"/>
      <c r="H75"/>
      <c r="J75" s="152" t="s">
        <v>1854</v>
      </c>
    </row>
    <row r="76" spans="1:12" ht="13.2">
      <c r="A76" s="182" t="s">
        <v>1739</v>
      </c>
      <c r="B76" s="213" t="s">
        <v>1781</v>
      </c>
      <c r="C76" s="214" t="s">
        <v>1835</v>
      </c>
      <c r="D76" s="221" t="s">
        <v>1789</v>
      </c>
      <c r="F76"/>
      <c r="H76"/>
      <c r="J76" s="152" t="s">
        <v>1855</v>
      </c>
      <c r="L76" s="140" t="s">
        <v>1832</v>
      </c>
    </row>
    <row r="77" spans="1:12" ht="13.8" thickBot="1">
      <c r="A77" s="182" t="s">
        <v>1739</v>
      </c>
      <c r="B77" s="218" t="s">
        <v>1781</v>
      </c>
      <c r="C77" s="219" t="s">
        <v>1836</v>
      </c>
      <c r="D77" s="220"/>
      <c r="F77"/>
      <c r="H77"/>
      <c r="J77" s="152" t="s">
        <v>1857</v>
      </c>
      <c r="L77" s="153" t="s">
        <v>1884</v>
      </c>
    </row>
    <row r="78" spans="1:12" ht="13.8" thickBot="1">
      <c r="A78" s="182" t="s">
        <v>1739</v>
      </c>
      <c r="B78" s="194" t="s">
        <v>1784</v>
      </c>
      <c r="C78" s="195" t="s">
        <v>1837</v>
      </c>
      <c r="D78" s="206"/>
      <c r="F78"/>
      <c r="H78"/>
      <c r="L78" s="153" t="s">
        <v>1885</v>
      </c>
    </row>
    <row r="79" spans="1:12" ht="13.2">
      <c r="A79" s="182" t="s">
        <v>1739</v>
      </c>
      <c r="B79" s="197" t="s">
        <v>1784</v>
      </c>
      <c r="C79" s="198" t="s">
        <v>1838</v>
      </c>
      <c r="D79" s="207"/>
      <c r="F79"/>
      <c r="H79"/>
      <c r="J79" s="140" t="s">
        <v>1796</v>
      </c>
      <c r="L79" s="153" t="s">
        <v>1886</v>
      </c>
    </row>
    <row r="80" spans="1:12" ht="13.8" thickBot="1">
      <c r="A80" s="182" t="s">
        <v>1739</v>
      </c>
      <c r="B80" s="201" t="s">
        <v>1784</v>
      </c>
      <c r="C80" s="202" t="s">
        <v>1839</v>
      </c>
      <c r="D80" s="203"/>
      <c r="F80"/>
      <c r="H80"/>
      <c r="J80" s="152" t="s">
        <v>1859</v>
      </c>
    </row>
    <row r="81" spans="1:12" ht="13.2">
      <c r="A81" s="182" t="s">
        <v>1739</v>
      </c>
      <c r="B81" s="197" t="s">
        <v>1787</v>
      </c>
      <c r="C81" s="199" t="s">
        <v>1841</v>
      </c>
      <c r="D81" s="205"/>
      <c r="F81"/>
      <c r="H81"/>
      <c r="J81" s="152" t="s">
        <v>1861</v>
      </c>
      <c r="L81" s="140" t="s">
        <v>1834</v>
      </c>
    </row>
    <row r="82" spans="1:12" ht="13.2">
      <c r="A82" s="182" t="s">
        <v>1739</v>
      </c>
      <c r="B82" s="197" t="s">
        <v>1787</v>
      </c>
      <c r="C82" s="200" t="s">
        <v>1843</v>
      </c>
      <c r="D82" s="190"/>
      <c r="F82"/>
      <c r="H82"/>
      <c r="J82" s="152" t="s">
        <v>1863</v>
      </c>
      <c r="L82" s="153" t="s">
        <v>1887</v>
      </c>
    </row>
    <row r="83" spans="1:12" ht="13.8" thickBot="1">
      <c r="A83" s="208" t="s">
        <v>1739</v>
      </c>
      <c r="B83" s="201" t="s">
        <v>1787</v>
      </c>
      <c r="C83" s="202" t="s">
        <v>1845</v>
      </c>
      <c r="D83" s="209"/>
      <c r="F83"/>
      <c r="H83"/>
      <c r="J83" s="152" t="s">
        <v>1864</v>
      </c>
      <c r="L83" s="153" t="s">
        <v>1888</v>
      </c>
    </row>
    <row r="84" spans="1:12" ht="13.2">
      <c r="A84" s="222" t="s">
        <v>1758</v>
      </c>
      <c r="B84" s="223" t="s">
        <v>1790</v>
      </c>
      <c r="C84" s="223" t="s">
        <v>1847</v>
      </c>
      <c r="D84" s="224" t="s">
        <v>1891</v>
      </c>
      <c r="F84"/>
      <c r="H84"/>
      <c r="J84" s="152" t="s">
        <v>1866</v>
      </c>
      <c r="L84" s="153" t="s">
        <v>1889</v>
      </c>
    </row>
    <row r="85" spans="1:12" ht="13.8" thickBot="1">
      <c r="A85" s="222" t="s">
        <v>1758</v>
      </c>
      <c r="B85" s="223" t="s">
        <v>1790</v>
      </c>
      <c r="C85" s="223" t="s">
        <v>1847</v>
      </c>
      <c r="D85" s="225" t="s">
        <v>1892</v>
      </c>
      <c r="F85"/>
      <c r="H85"/>
      <c r="J85" s="152" t="s">
        <v>1868</v>
      </c>
    </row>
    <row r="86" spans="1:12" ht="13.2">
      <c r="A86" s="222" t="s">
        <v>1758</v>
      </c>
      <c r="B86" s="223" t="s">
        <v>1790</v>
      </c>
      <c r="C86" s="226" t="s">
        <v>1847</v>
      </c>
      <c r="D86" s="225" t="s">
        <v>1893</v>
      </c>
      <c r="F86"/>
      <c r="H86"/>
      <c r="J86" s="152" t="s">
        <v>1870</v>
      </c>
      <c r="L86" s="140" t="s">
        <v>2397</v>
      </c>
    </row>
    <row r="87" spans="1:12" ht="13.2">
      <c r="A87" s="222" t="s">
        <v>1758</v>
      </c>
      <c r="B87" s="223" t="s">
        <v>1790</v>
      </c>
      <c r="C87" s="223" t="s">
        <v>1848</v>
      </c>
      <c r="D87" s="225" t="s">
        <v>1891</v>
      </c>
      <c r="F87"/>
      <c r="H87"/>
      <c r="J87" s="152" t="s">
        <v>1872</v>
      </c>
      <c r="L87" s="153" t="s">
        <v>1890</v>
      </c>
    </row>
    <row r="88" spans="1:12" ht="13.2">
      <c r="A88" s="222" t="s">
        <v>1758</v>
      </c>
      <c r="B88" s="223" t="s">
        <v>1790</v>
      </c>
      <c r="C88" s="223" t="s">
        <v>1848</v>
      </c>
      <c r="D88" s="225" t="s">
        <v>1892</v>
      </c>
      <c r="F88"/>
      <c r="H88"/>
      <c r="J88" s="152" t="s">
        <v>1874</v>
      </c>
      <c r="L88" s="153" t="s">
        <v>1789</v>
      </c>
    </row>
    <row r="89" spans="1:12" ht="13.8" thickBot="1">
      <c r="A89" s="222" t="s">
        <v>1758</v>
      </c>
      <c r="B89" s="226" t="s">
        <v>1790</v>
      </c>
      <c r="C89" s="226" t="s">
        <v>1848</v>
      </c>
      <c r="D89" s="225" t="s">
        <v>1893</v>
      </c>
      <c r="F89"/>
      <c r="H89"/>
      <c r="J89" s="152" t="s">
        <v>1876</v>
      </c>
    </row>
    <row r="90" spans="1:12" ht="13.8" thickBot="1">
      <c r="A90" s="222" t="s">
        <v>1758</v>
      </c>
      <c r="B90" s="223" t="s">
        <v>1793</v>
      </c>
      <c r="C90" s="227" t="s">
        <v>1850</v>
      </c>
      <c r="D90" s="225"/>
      <c r="F90"/>
      <c r="H90"/>
      <c r="J90"/>
      <c r="L90" s="140" t="s">
        <v>1847</v>
      </c>
    </row>
    <row r="91" spans="1:12" ht="13.2">
      <c r="A91" s="222" t="s">
        <v>1758</v>
      </c>
      <c r="B91" s="223" t="s">
        <v>1793</v>
      </c>
      <c r="C91" s="227" t="s">
        <v>1852</v>
      </c>
      <c r="D91" s="225"/>
      <c r="F91"/>
      <c r="H91"/>
      <c r="J91" s="140" t="s">
        <v>2401</v>
      </c>
      <c r="L91" s="153" t="s">
        <v>1891</v>
      </c>
    </row>
    <row r="92" spans="1:12" ht="13.2">
      <c r="A92" s="222" t="s">
        <v>1758</v>
      </c>
      <c r="B92" s="223" t="s">
        <v>1793</v>
      </c>
      <c r="C92" s="227" t="s">
        <v>1854</v>
      </c>
      <c r="D92" s="225"/>
      <c r="F92"/>
      <c r="H92"/>
      <c r="J92" s="152" t="s">
        <v>1878</v>
      </c>
      <c r="L92" s="153" t="s">
        <v>1892</v>
      </c>
    </row>
    <row r="93" spans="1:12" ht="13.2">
      <c r="A93" s="222" t="s">
        <v>1758</v>
      </c>
      <c r="B93" s="223" t="s">
        <v>1793</v>
      </c>
      <c r="C93" s="227" t="s">
        <v>1855</v>
      </c>
      <c r="D93" s="225"/>
      <c r="F93"/>
      <c r="H93"/>
      <c r="J93" s="152" t="s">
        <v>1880</v>
      </c>
      <c r="L93" s="153" t="s">
        <v>1893</v>
      </c>
    </row>
    <row r="94" spans="1:12" ht="13.8" thickBot="1">
      <c r="A94" s="222" t="s">
        <v>1758</v>
      </c>
      <c r="B94" s="226" t="s">
        <v>1793</v>
      </c>
      <c r="C94" s="226" t="s">
        <v>1857</v>
      </c>
      <c r="D94" s="224"/>
      <c r="F94"/>
      <c r="H94"/>
      <c r="J94" s="152" t="s">
        <v>1882</v>
      </c>
    </row>
    <row r="95" spans="1:12" ht="13.8" thickBot="1">
      <c r="A95" s="231" t="s">
        <v>1758</v>
      </c>
      <c r="B95" s="232" t="s">
        <v>1796</v>
      </c>
      <c r="C95" s="233" t="s">
        <v>1859</v>
      </c>
      <c r="D95" s="234"/>
      <c r="F95"/>
      <c r="H95"/>
      <c r="J95"/>
      <c r="L95" s="140" t="s">
        <v>1848</v>
      </c>
    </row>
    <row r="96" spans="1:12" ht="13.2">
      <c r="A96" s="231" t="s">
        <v>1758</v>
      </c>
      <c r="B96" s="232" t="s">
        <v>1796</v>
      </c>
      <c r="C96" s="232" t="s">
        <v>1861</v>
      </c>
      <c r="D96" s="234" t="s">
        <v>1894</v>
      </c>
      <c r="F96"/>
      <c r="H96"/>
      <c r="J96" s="140" t="s">
        <v>1803</v>
      </c>
      <c r="L96" s="153" t="s">
        <v>1891</v>
      </c>
    </row>
    <row r="97" spans="1:12" ht="13.2">
      <c r="A97" s="231" t="s">
        <v>1758</v>
      </c>
      <c r="B97" s="232" t="s">
        <v>1796</v>
      </c>
      <c r="C97" s="235" t="s">
        <v>1861</v>
      </c>
      <c r="D97" s="234" t="s">
        <v>1895</v>
      </c>
      <c r="F97"/>
      <c r="H97"/>
      <c r="J97" s="152" t="s">
        <v>1901</v>
      </c>
      <c r="L97" s="153" t="s">
        <v>1892</v>
      </c>
    </row>
    <row r="98" spans="1:12" ht="13.2">
      <c r="A98" s="231" t="s">
        <v>1758</v>
      </c>
      <c r="B98" s="232" t="s">
        <v>1796</v>
      </c>
      <c r="C98" s="233" t="s">
        <v>1863</v>
      </c>
      <c r="D98" s="234"/>
      <c r="F98"/>
      <c r="H98"/>
      <c r="J98" s="152" t="s">
        <v>1902</v>
      </c>
      <c r="L98" s="153" t="s">
        <v>1893</v>
      </c>
    </row>
    <row r="99" spans="1:12" ht="13.8" thickBot="1">
      <c r="A99" s="231" t="s">
        <v>1758</v>
      </c>
      <c r="B99" s="232" t="s">
        <v>1796</v>
      </c>
      <c r="C99" s="233" t="s">
        <v>1864</v>
      </c>
      <c r="D99" s="234"/>
      <c r="F99"/>
      <c r="H99"/>
      <c r="J99" s="152" t="s">
        <v>1857</v>
      </c>
    </row>
    <row r="100" spans="1:12" ht="13.2">
      <c r="A100" s="231" t="s">
        <v>1758</v>
      </c>
      <c r="B100" s="232" t="s">
        <v>1796</v>
      </c>
      <c r="C100" s="232" t="s">
        <v>1866</v>
      </c>
      <c r="D100" s="234" t="s">
        <v>1896</v>
      </c>
      <c r="F100"/>
      <c r="H100"/>
      <c r="J100" s="152" t="s">
        <v>1903</v>
      </c>
      <c r="L100" s="140" t="s">
        <v>1861</v>
      </c>
    </row>
    <row r="101" spans="1:12" ht="13.8" thickBot="1">
      <c r="A101" s="231" t="s">
        <v>1758</v>
      </c>
      <c r="B101" s="232" t="s">
        <v>1796</v>
      </c>
      <c r="C101" s="232" t="s">
        <v>1866</v>
      </c>
      <c r="D101" s="234" t="s">
        <v>1897</v>
      </c>
      <c r="F101"/>
      <c r="H101"/>
      <c r="L101" s="153" t="s">
        <v>1894</v>
      </c>
    </row>
    <row r="102" spans="1:12" ht="13.2">
      <c r="A102" s="231" t="s">
        <v>1758</v>
      </c>
      <c r="B102" s="232" t="s">
        <v>1796</v>
      </c>
      <c r="C102" s="235" t="s">
        <v>1866</v>
      </c>
      <c r="D102" s="234" t="s">
        <v>1883</v>
      </c>
      <c r="F102"/>
      <c r="H102"/>
      <c r="J102" s="140" t="s">
        <v>1806</v>
      </c>
      <c r="L102" s="153" t="s">
        <v>1895</v>
      </c>
    </row>
    <row r="103" spans="1:12" ht="13.8" thickBot="1">
      <c r="A103" s="231" t="s">
        <v>1758</v>
      </c>
      <c r="B103" s="232" t="s">
        <v>1796</v>
      </c>
      <c r="C103" s="233" t="s">
        <v>1868</v>
      </c>
      <c r="D103" s="234"/>
      <c r="F103"/>
      <c r="H103"/>
      <c r="J103" s="152" t="s">
        <v>1904</v>
      </c>
    </row>
    <row r="104" spans="1:12" ht="13.2">
      <c r="A104" s="231" t="s">
        <v>1758</v>
      </c>
      <c r="B104" s="232" t="s">
        <v>1796</v>
      </c>
      <c r="C104" s="233" t="s">
        <v>1870</v>
      </c>
      <c r="D104" s="234"/>
      <c r="F104"/>
      <c r="H104"/>
      <c r="J104" s="152" t="s">
        <v>1905</v>
      </c>
      <c r="L104" s="140" t="s">
        <v>2400</v>
      </c>
    </row>
    <row r="105" spans="1:12" ht="13.2">
      <c r="A105" s="231" t="s">
        <v>1758</v>
      </c>
      <c r="B105" s="232" t="s">
        <v>1796</v>
      </c>
      <c r="C105" s="233" t="s">
        <v>1872</v>
      </c>
      <c r="D105" s="234"/>
      <c r="F105"/>
      <c r="H105"/>
      <c r="L105" s="153" t="s">
        <v>1896</v>
      </c>
    </row>
    <row r="106" spans="1:12" ht="13.8" thickBot="1">
      <c r="A106" s="231" t="s">
        <v>1758</v>
      </c>
      <c r="B106" s="232" t="s">
        <v>1796</v>
      </c>
      <c r="C106" s="233" t="s">
        <v>1874</v>
      </c>
      <c r="D106" s="234"/>
      <c r="F106"/>
      <c r="H106"/>
      <c r="L106" s="153" t="s">
        <v>1897</v>
      </c>
    </row>
    <row r="107" spans="1:12" ht="13.2">
      <c r="A107" s="231" t="s">
        <v>1758</v>
      </c>
      <c r="B107" s="232" t="s">
        <v>1796</v>
      </c>
      <c r="C107" s="232" t="s">
        <v>1876</v>
      </c>
      <c r="D107" s="234" t="s">
        <v>1898</v>
      </c>
      <c r="F107"/>
      <c r="H107"/>
      <c r="J107" s="140" t="s">
        <v>1906</v>
      </c>
      <c r="L107" s="153" t="s">
        <v>1883</v>
      </c>
    </row>
    <row r="108" spans="1:12" ht="13.8" thickBot="1">
      <c r="A108" s="231" t="s">
        <v>1758</v>
      </c>
      <c r="B108" s="235" t="s">
        <v>1796</v>
      </c>
      <c r="C108" s="235" t="s">
        <v>1876</v>
      </c>
      <c r="D108" s="234" t="s">
        <v>1789</v>
      </c>
      <c r="F108"/>
      <c r="H108"/>
      <c r="J108" s="152" t="s">
        <v>1906</v>
      </c>
    </row>
    <row r="109" spans="1:12" ht="13.2">
      <c r="A109" s="222" t="s">
        <v>1758</v>
      </c>
      <c r="B109" s="223" t="s">
        <v>1799</v>
      </c>
      <c r="C109" s="223" t="s">
        <v>1878</v>
      </c>
      <c r="D109" s="225" t="s">
        <v>1899</v>
      </c>
      <c r="F109"/>
      <c r="H109"/>
      <c r="J109" s="152" t="s">
        <v>1907</v>
      </c>
      <c r="L109" s="140" t="s">
        <v>1876</v>
      </c>
    </row>
    <row r="110" spans="1:12" ht="13.2">
      <c r="A110" s="222" t="s">
        <v>1758</v>
      </c>
      <c r="B110" s="223" t="s">
        <v>1799</v>
      </c>
      <c r="C110" s="226" t="s">
        <v>1878</v>
      </c>
      <c r="D110" s="225" t="s">
        <v>1789</v>
      </c>
      <c r="F110"/>
      <c r="H110"/>
      <c r="J110" s="152" t="s">
        <v>1908</v>
      </c>
      <c r="L110" s="153" t="s">
        <v>1898</v>
      </c>
    </row>
    <row r="111" spans="1:12" ht="13.8" thickBot="1">
      <c r="A111" s="222" t="s">
        <v>1758</v>
      </c>
      <c r="B111" s="223" t="s">
        <v>1799</v>
      </c>
      <c r="C111" s="223" t="s">
        <v>1880</v>
      </c>
      <c r="D111" s="225" t="s">
        <v>1900</v>
      </c>
      <c r="F111"/>
      <c r="H111"/>
      <c r="L111" s="153" t="s">
        <v>1789</v>
      </c>
    </row>
    <row r="112" spans="1:12" ht="13.8" thickBot="1">
      <c r="A112" s="222" t="s">
        <v>1758</v>
      </c>
      <c r="B112" s="223" t="s">
        <v>1799</v>
      </c>
      <c r="C112" s="226" t="s">
        <v>1880</v>
      </c>
      <c r="D112" s="225" t="s">
        <v>1789</v>
      </c>
      <c r="F112"/>
      <c r="H112"/>
      <c r="J112" s="140" t="s">
        <v>1812</v>
      </c>
    </row>
    <row r="113" spans="1:12" ht="13.8" thickBot="1">
      <c r="A113" s="228" t="s">
        <v>1758</v>
      </c>
      <c r="B113" s="229" t="s">
        <v>1799</v>
      </c>
      <c r="C113" s="229" t="s">
        <v>1882</v>
      </c>
      <c r="D113" s="230"/>
      <c r="F113"/>
      <c r="H113"/>
      <c r="J113" s="152" t="s">
        <v>1913</v>
      </c>
      <c r="L113" s="140" t="s">
        <v>1878</v>
      </c>
    </row>
    <row r="114" spans="1:12" ht="13.8" thickBot="1">
      <c r="A114" s="165" t="s">
        <v>1760</v>
      </c>
      <c r="B114" s="166"/>
      <c r="C114" s="166"/>
      <c r="D114" s="167"/>
      <c r="F114"/>
      <c r="H114"/>
      <c r="J114" s="152" t="s">
        <v>1918</v>
      </c>
      <c r="L114" s="153" t="s">
        <v>1899</v>
      </c>
    </row>
    <row r="115" spans="1:12" ht="13.8" thickBot="1">
      <c r="A115" s="161" t="s">
        <v>1762</v>
      </c>
      <c r="B115" s="155" t="s">
        <v>1803</v>
      </c>
      <c r="C115" s="168" t="s">
        <v>1901</v>
      </c>
      <c r="D115" s="157"/>
      <c r="F115"/>
      <c r="H115"/>
      <c r="L115" s="153" t="s">
        <v>1789</v>
      </c>
    </row>
    <row r="116" spans="1:12" ht="13.8" thickBot="1">
      <c r="A116" s="161" t="s">
        <v>1762</v>
      </c>
      <c r="B116" s="155" t="s">
        <v>1803</v>
      </c>
      <c r="C116" s="156" t="s">
        <v>1902</v>
      </c>
      <c r="D116" s="154"/>
      <c r="F116"/>
      <c r="H116"/>
      <c r="J116" s="140" t="s">
        <v>1815</v>
      </c>
    </row>
    <row r="117" spans="1:12" ht="13.2">
      <c r="A117" s="161" t="s">
        <v>1762</v>
      </c>
      <c r="B117" s="155" t="s">
        <v>1803</v>
      </c>
      <c r="C117" s="163" t="s">
        <v>1857</v>
      </c>
      <c r="D117" s="154"/>
      <c r="F117"/>
      <c r="H117"/>
      <c r="J117" s="152" t="s">
        <v>1919</v>
      </c>
      <c r="L117" s="140" t="s">
        <v>2402</v>
      </c>
    </row>
    <row r="118" spans="1:12" ht="13.2">
      <c r="A118" s="161" t="s">
        <v>1762</v>
      </c>
      <c r="B118" s="156" t="s">
        <v>1803</v>
      </c>
      <c r="C118" s="156" t="s">
        <v>1903</v>
      </c>
      <c r="D118" s="159"/>
      <c r="F118"/>
      <c r="H118"/>
      <c r="J118" s="152" t="s">
        <v>1920</v>
      </c>
      <c r="L118" s="153" t="s">
        <v>1900</v>
      </c>
    </row>
    <row r="119" spans="1:12" ht="13.2">
      <c r="A119" s="161" t="s">
        <v>1762</v>
      </c>
      <c r="B119" s="155" t="s">
        <v>1806</v>
      </c>
      <c r="C119" s="163" t="s">
        <v>1904</v>
      </c>
      <c r="D119" s="154"/>
      <c r="F119"/>
      <c r="H119"/>
      <c r="J119" s="152" t="s">
        <v>1872</v>
      </c>
      <c r="L119" s="153" t="s">
        <v>1789</v>
      </c>
    </row>
    <row r="120" spans="1:12" ht="13.8" thickBot="1">
      <c r="A120" s="161" t="s">
        <v>1762</v>
      </c>
      <c r="B120" s="156" t="s">
        <v>1806</v>
      </c>
      <c r="C120" s="156" t="s">
        <v>1905</v>
      </c>
      <c r="D120" s="159"/>
      <c r="F120"/>
      <c r="H120"/>
      <c r="J120" s="152" t="s">
        <v>1878</v>
      </c>
    </row>
    <row r="121" spans="1:12" ht="13.2">
      <c r="A121" s="161" t="s">
        <v>1762</v>
      </c>
      <c r="B121" s="155" t="s">
        <v>1809</v>
      </c>
      <c r="C121" s="163" t="s">
        <v>1906</v>
      </c>
      <c r="D121" s="154"/>
      <c r="F121"/>
      <c r="H121"/>
      <c r="J121" s="152" t="s">
        <v>1921</v>
      </c>
      <c r="L121" s="140" t="s">
        <v>1913</v>
      </c>
    </row>
    <row r="122" spans="1:12" ht="13.2">
      <c r="A122" s="161" t="s">
        <v>1762</v>
      </c>
      <c r="B122" s="155" t="s">
        <v>1809</v>
      </c>
      <c r="C122" s="163" t="s">
        <v>1907</v>
      </c>
      <c r="D122" s="154"/>
      <c r="F122"/>
      <c r="H122"/>
      <c r="J122" s="152" t="s">
        <v>1922</v>
      </c>
      <c r="L122" s="153" t="s">
        <v>1910</v>
      </c>
    </row>
    <row r="123" spans="1:12" ht="13.2">
      <c r="A123" s="161" t="s">
        <v>1762</v>
      </c>
      <c r="B123" s="156" t="s">
        <v>1809</v>
      </c>
      <c r="C123" s="156" t="s">
        <v>1908</v>
      </c>
      <c r="D123" s="159"/>
      <c r="F123"/>
      <c r="H123"/>
      <c r="L123" s="153" t="s">
        <v>1911</v>
      </c>
    </row>
    <row r="124" spans="1:12" ht="13.2">
      <c r="A124" s="161" t="s">
        <v>1762</v>
      </c>
      <c r="B124" s="155" t="s">
        <v>1812</v>
      </c>
      <c r="C124" s="155" t="s">
        <v>1909</v>
      </c>
      <c r="D124" s="154" t="s">
        <v>1910</v>
      </c>
      <c r="F124"/>
      <c r="H124"/>
      <c r="L124" s="153" t="s">
        <v>1912</v>
      </c>
    </row>
    <row r="125" spans="1:12" ht="13.2">
      <c r="A125" s="161" t="s">
        <v>1762</v>
      </c>
      <c r="B125" s="155" t="s">
        <v>1812</v>
      </c>
      <c r="C125" s="155" t="s">
        <v>1909</v>
      </c>
      <c r="D125" s="154" t="s">
        <v>1911</v>
      </c>
      <c r="F125"/>
      <c r="H125"/>
      <c r="L125" s="153" t="s">
        <v>1789</v>
      </c>
    </row>
    <row r="126" spans="1:12" ht="13.2">
      <c r="A126" s="161" t="s">
        <v>1762</v>
      </c>
      <c r="B126" s="155" t="s">
        <v>1812</v>
      </c>
      <c r="C126" s="155" t="s">
        <v>1909</v>
      </c>
      <c r="D126" s="154" t="s">
        <v>1912</v>
      </c>
      <c r="F126"/>
      <c r="H126"/>
      <c r="L126" s="153" t="s">
        <v>1914</v>
      </c>
    </row>
    <row r="127" spans="1:12" ht="13.2">
      <c r="A127" s="161" t="s">
        <v>1762</v>
      </c>
      <c r="B127" s="155" t="s">
        <v>1812</v>
      </c>
      <c r="C127" s="155" t="s">
        <v>1909</v>
      </c>
      <c r="D127" s="154" t="s">
        <v>1789</v>
      </c>
      <c r="F127"/>
      <c r="H127"/>
      <c r="L127" s="153" t="s">
        <v>1915</v>
      </c>
    </row>
    <row r="128" spans="1:12" ht="13.2">
      <c r="A128" s="161" t="s">
        <v>1762</v>
      </c>
      <c r="B128" s="155" t="s">
        <v>1812</v>
      </c>
      <c r="C128" s="155" t="s">
        <v>1913</v>
      </c>
      <c r="D128" s="154" t="s">
        <v>1914</v>
      </c>
      <c r="F128"/>
      <c r="H128"/>
      <c r="L128" s="153" t="s">
        <v>1916</v>
      </c>
    </row>
    <row r="129" spans="1:12" ht="13.2">
      <c r="A129" s="161" t="s">
        <v>1762</v>
      </c>
      <c r="B129" s="155" t="s">
        <v>1812</v>
      </c>
      <c r="C129" s="155" t="s">
        <v>1913</v>
      </c>
      <c r="D129" s="154" t="s">
        <v>1915</v>
      </c>
      <c r="F129"/>
      <c r="H129"/>
      <c r="L129" s="153" t="s">
        <v>1917</v>
      </c>
    </row>
    <row r="130" spans="1:12" ht="13.2">
      <c r="A130" s="161" t="s">
        <v>1762</v>
      </c>
      <c r="B130" s="155" t="s">
        <v>1812</v>
      </c>
      <c r="C130" s="155" t="s">
        <v>1913</v>
      </c>
      <c r="D130" s="154" t="s">
        <v>1916</v>
      </c>
      <c r="F130"/>
      <c r="H130"/>
      <c r="L130" s="153" t="s">
        <v>1789</v>
      </c>
    </row>
    <row r="131" spans="1:12" ht="13.8" thickBot="1">
      <c r="A131" s="161" t="s">
        <v>1762</v>
      </c>
      <c r="B131" s="155" t="s">
        <v>1812</v>
      </c>
      <c r="C131" s="155" t="s">
        <v>1913</v>
      </c>
      <c r="D131" s="154" t="s">
        <v>1917</v>
      </c>
      <c r="F131"/>
      <c r="H131"/>
    </row>
    <row r="132" spans="1:12" ht="13.2">
      <c r="A132" s="161" t="s">
        <v>1762</v>
      </c>
      <c r="B132" s="155" t="s">
        <v>1812</v>
      </c>
      <c r="C132" s="156" t="s">
        <v>1913</v>
      </c>
      <c r="D132" s="154" t="s">
        <v>1789</v>
      </c>
      <c r="F132"/>
      <c r="H132"/>
      <c r="L132" s="140" t="s">
        <v>1835</v>
      </c>
    </row>
    <row r="133" spans="1:12" ht="13.2">
      <c r="A133" s="161" t="s">
        <v>1762</v>
      </c>
      <c r="B133" s="156" t="s">
        <v>1812</v>
      </c>
      <c r="C133" s="156" t="s">
        <v>1918</v>
      </c>
      <c r="D133" s="159"/>
      <c r="F133"/>
      <c r="H133"/>
      <c r="L133" s="153" t="s">
        <v>1890</v>
      </c>
    </row>
    <row r="134" spans="1:12" ht="13.2">
      <c r="A134" s="161" t="s">
        <v>1762</v>
      </c>
      <c r="B134" s="155" t="s">
        <v>1815</v>
      </c>
      <c r="C134" s="163" t="s">
        <v>1919</v>
      </c>
      <c r="D134" s="154"/>
      <c r="F134"/>
      <c r="H134"/>
      <c r="L134" s="153" t="s">
        <v>1789</v>
      </c>
    </row>
    <row r="135" spans="1:12" ht="13.2">
      <c r="A135" s="161" t="s">
        <v>1762</v>
      </c>
      <c r="B135" s="155" t="s">
        <v>1815</v>
      </c>
      <c r="C135" s="163" t="s">
        <v>1920</v>
      </c>
      <c r="D135" s="154"/>
      <c r="F135"/>
      <c r="H135"/>
    </row>
    <row r="136" spans="1:12" ht="13.2">
      <c r="A136" s="161" t="s">
        <v>1762</v>
      </c>
      <c r="B136" s="155" t="s">
        <v>1815</v>
      </c>
      <c r="C136" s="163" t="s">
        <v>1872</v>
      </c>
      <c r="D136" s="154"/>
      <c r="F136"/>
      <c r="H136"/>
    </row>
    <row r="137" spans="1:12" ht="13.2">
      <c r="A137" s="161" t="s">
        <v>1762</v>
      </c>
      <c r="B137" s="155" t="s">
        <v>1815</v>
      </c>
      <c r="C137" s="163" t="s">
        <v>1878</v>
      </c>
      <c r="D137" s="154"/>
      <c r="F137"/>
      <c r="H137"/>
    </row>
    <row r="138" spans="1:12" ht="13.2">
      <c r="A138" s="161" t="s">
        <v>1762</v>
      </c>
      <c r="B138" s="155" t="s">
        <v>1815</v>
      </c>
      <c r="C138" s="163" t="s">
        <v>1921</v>
      </c>
      <c r="D138" s="154"/>
      <c r="F138"/>
      <c r="H138"/>
    </row>
    <row r="139" spans="1:12" ht="13.8" thickBot="1">
      <c r="A139" s="162" t="s">
        <v>1762</v>
      </c>
      <c r="B139" s="164" t="s">
        <v>1815</v>
      </c>
      <c r="C139" s="164" t="s">
        <v>1922</v>
      </c>
      <c r="D139" s="158"/>
      <c r="F139"/>
      <c r="H139"/>
    </row>
    <row r="140" spans="1:12" ht="13.2">
      <c r="A140" s="161" t="s">
        <v>1765</v>
      </c>
      <c r="B140" s="168" t="s">
        <v>1817</v>
      </c>
      <c r="C140" s="147"/>
      <c r="D140" s="148"/>
      <c r="F140"/>
      <c r="H140"/>
    </row>
    <row r="141" spans="1:12" ht="13.2">
      <c r="A141" s="161" t="s">
        <v>1765</v>
      </c>
      <c r="B141" s="163" t="s">
        <v>1819</v>
      </c>
      <c r="C141" s="143"/>
      <c r="D141" s="142"/>
      <c r="F141"/>
      <c r="H141"/>
    </row>
    <row r="142" spans="1:12" ht="13.2">
      <c r="A142" s="161" t="s">
        <v>1765</v>
      </c>
      <c r="B142" s="163" t="s">
        <v>1822</v>
      </c>
      <c r="C142" s="143"/>
      <c r="D142" s="142"/>
      <c r="F142"/>
      <c r="H142"/>
    </row>
    <row r="143" spans="1:12" ht="13.8" thickBot="1">
      <c r="A143" s="162" t="s">
        <v>1765</v>
      </c>
      <c r="B143" s="164" t="s">
        <v>1825</v>
      </c>
      <c r="C143" s="144"/>
      <c r="D143" s="146"/>
      <c r="F143"/>
      <c r="H143"/>
    </row>
    <row r="144" spans="1:12" ht="13.8" thickBot="1">
      <c r="A144" s="145" t="s">
        <v>1767</v>
      </c>
      <c r="B144" s="144"/>
      <c r="C144" s="144"/>
      <c r="D144" s="146"/>
      <c r="F144"/>
      <c r="H144"/>
    </row>
    <row r="145" spans="1:8" ht="13.2">
      <c r="F145"/>
      <c r="H145"/>
    </row>
    <row r="146" spans="1:8" ht="13.2">
      <c r="F146"/>
      <c r="H146"/>
    </row>
    <row r="147" spans="1:8" ht="13.2">
      <c r="F147"/>
      <c r="H147"/>
    </row>
    <row r="148" spans="1:8" ht="13.2">
      <c r="F148"/>
      <c r="H148"/>
    </row>
    <row r="149" spans="1:8" ht="13.2">
      <c r="F149"/>
      <c r="H149"/>
    </row>
    <row r="150" spans="1:8" ht="13.2">
      <c r="F150"/>
      <c r="H150"/>
    </row>
    <row r="151" spans="1:8" ht="13.2">
      <c r="F151"/>
      <c r="H151"/>
    </row>
    <row r="152" spans="1:8" ht="13.2">
      <c r="F152"/>
      <c r="H152"/>
    </row>
    <row r="153" spans="1:8" ht="13.2">
      <c r="F153"/>
      <c r="H153"/>
    </row>
    <row r="154" spans="1:8" ht="13.2">
      <c r="F154"/>
      <c r="H154"/>
    </row>
    <row r="155" spans="1:8" s="63" customFormat="1" ht="13.2">
      <c r="A155" s="149"/>
      <c r="B155" s="150"/>
      <c r="C155" s="150"/>
      <c r="D155" s="150"/>
      <c r="F155"/>
      <c r="H155"/>
    </row>
    <row r="156" spans="1:8" s="63" customFormat="1" ht="13.2">
      <c r="A156" s="149"/>
      <c r="B156" s="150"/>
      <c r="C156" s="150"/>
      <c r="D156" s="150"/>
      <c r="F156"/>
      <c r="H156"/>
    </row>
    <row r="157" spans="1:8" s="63" customFormat="1" ht="13.2">
      <c r="A157" s="149"/>
      <c r="B157" s="150"/>
      <c r="C157" s="150"/>
      <c r="D157" s="150"/>
      <c r="F157"/>
      <c r="H157"/>
    </row>
    <row r="158" spans="1:8" s="63" customFormat="1" ht="13.2">
      <c r="A158" s="149"/>
      <c r="B158" s="150"/>
      <c r="C158" s="150"/>
      <c r="D158" s="150"/>
      <c r="F158"/>
      <c r="H158"/>
    </row>
    <row r="159" spans="1:8" s="63" customFormat="1" ht="13.2">
      <c r="A159" s="149"/>
      <c r="B159" s="150"/>
      <c r="C159" s="150"/>
      <c r="D159" s="150"/>
      <c r="F159"/>
      <c r="H159"/>
    </row>
    <row r="160" spans="1:8" s="63" customFormat="1" ht="13.2">
      <c r="A160" s="149"/>
      <c r="B160" s="150"/>
      <c r="C160" s="150"/>
      <c r="D160" s="150"/>
      <c r="F160"/>
      <c r="H160"/>
    </row>
    <row r="161" spans="1:8" s="63" customFormat="1" ht="13.2">
      <c r="A161" s="149"/>
      <c r="B161" s="150"/>
      <c r="C161" s="150"/>
      <c r="D161" s="150"/>
      <c r="F161"/>
      <c r="H161"/>
    </row>
    <row r="162" spans="1:8" s="63" customFormat="1" ht="13.2">
      <c r="A162" s="149"/>
      <c r="B162" s="150"/>
      <c r="C162" s="150"/>
      <c r="D162" s="150"/>
      <c r="F162"/>
      <c r="H162"/>
    </row>
    <row r="163" spans="1:8" s="63" customFormat="1" ht="13.2">
      <c r="A163" s="149"/>
      <c r="B163" s="150"/>
      <c r="C163" s="150"/>
      <c r="D163" s="150"/>
      <c r="F163"/>
      <c r="H163"/>
    </row>
    <row r="164" spans="1:8" s="63" customFormat="1" ht="13.2">
      <c r="A164" s="149"/>
      <c r="B164" s="150"/>
      <c r="C164" s="150"/>
      <c r="D164" s="150"/>
      <c r="F164"/>
      <c r="H164"/>
    </row>
    <row r="165" spans="1:8" s="63" customFormat="1" ht="13.2">
      <c r="A165" s="149"/>
      <c r="B165" s="150"/>
      <c r="C165" s="150"/>
      <c r="D165" s="150"/>
      <c r="F165"/>
      <c r="H165"/>
    </row>
    <row r="166" spans="1:8" s="63" customFormat="1" ht="13.2">
      <c r="A166" s="149"/>
      <c r="B166" s="150"/>
      <c r="C166" s="150"/>
      <c r="D166" s="150"/>
      <c r="F166"/>
      <c r="H166"/>
    </row>
    <row r="167" spans="1:8" s="63" customFormat="1" ht="13.2">
      <c r="A167" s="149"/>
      <c r="B167" s="150"/>
      <c r="C167" s="150"/>
      <c r="D167" s="150"/>
      <c r="F167"/>
      <c r="H167"/>
    </row>
    <row r="168" spans="1:8" s="63" customFormat="1" ht="13.2">
      <c r="A168" s="149"/>
      <c r="B168" s="150"/>
      <c r="C168" s="150"/>
      <c r="D168" s="150"/>
      <c r="F168"/>
      <c r="H168"/>
    </row>
    <row r="169" spans="1:8" s="63" customFormat="1" ht="13.2">
      <c r="A169" s="149"/>
      <c r="B169" s="150"/>
      <c r="C169" s="150"/>
      <c r="D169" s="150"/>
      <c r="F169"/>
      <c r="H169"/>
    </row>
    <row r="170" spans="1:8" s="63" customFormat="1" ht="13.2">
      <c r="A170" s="149"/>
      <c r="B170" s="150"/>
      <c r="C170" s="150"/>
      <c r="D170" s="150"/>
      <c r="F170"/>
      <c r="H170"/>
    </row>
    <row r="171" spans="1:8" s="63" customFormat="1" ht="13.2">
      <c r="A171" s="149"/>
      <c r="B171" s="150"/>
      <c r="C171" s="150"/>
      <c r="D171" s="150"/>
      <c r="F171"/>
      <c r="H171"/>
    </row>
    <row r="172" spans="1:8" s="63" customFormat="1" ht="13.2">
      <c r="A172" s="149"/>
      <c r="B172" s="150"/>
      <c r="C172" s="150"/>
      <c r="D172" s="150"/>
      <c r="F172"/>
      <c r="H172"/>
    </row>
    <row r="173" spans="1:8" s="63" customFormat="1" ht="13.2">
      <c r="A173" s="149"/>
      <c r="B173" s="150"/>
      <c r="C173" s="150"/>
      <c r="D173" s="150"/>
      <c r="F173"/>
      <c r="H173"/>
    </row>
    <row r="174" spans="1:8" s="63" customFormat="1" ht="13.2">
      <c r="A174" s="149"/>
      <c r="B174" s="150"/>
      <c r="C174" s="150"/>
      <c r="D174" s="150"/>
      <c r="F174"/>
      <c r="H174"/>
    </row>
    <row r="175" spans="1:8" s="63" customFormat="1" ht="13.2">
      <c r="A175" s="149"/>
      <c r="B175" s="150"/>
      <c r="C175" s="150"/>
      <c r="D175" s="150"/>
      <c r="F175"/>
      <c r="H175"/>
    </row>
    <row r="176" spans="1:8" s="63" customFormat="1" ht="13.2">
      <c r="A176" s="149"/>
      <c r="B176" s="150"/>
      <c r="C176" s="150"/>
      <c r="D176" s="150"/>
      <c r="F176"/>
      <c r="H176"/>
    </row>
    <row r="177" spans="1:8" s="63" customFormat="1" ht="13.2">
      <c r="A177" s="149"/>
      <c r="B177" s="150"/>
      <c r="C177" s="150"/>
      <c r="D177" s="150"/>
      <c r="F177"/>
      <c r="H177"/>
    </row>
    <row r="178" spans="1:8" s="63" customFormat="1" ht="13.2">
      <c r="A178" s="149"/>
      <c r="B178" s="150"/>
      <c r="C178" s="150"/>
      <c r="D178" s="150"/>
      <c r="F178"/>
      <c r="H178"/>
    </row>
    <row r="179" spans="1:8" s="63" customFormat="1" ht="13.2">
      <c r="A179" s="149"/>
      <c r="B179" s="150"/>
      <c r="C179" s="150"/>
      <c r="D179" s="150"/>
      <c r="F179"/>
      <c r="H179"/>
    </row>
    <row r="180" spans="1:8" s="63" customFormat="1" ht="13.2">
      <c r="A180" s="149"/>
      <c r="B180" s="150"/>
      <c r="C180" s="150"/>
      <c r="D180" s="150"/>
      <c r="F180"/>
      <c r="H180"/>
    </row>
    <row r="181" spans="1:8" s="63" customFormat="1" ht="13.2">
      <c r="A181" s="149"/>
      <c r="B181" s="150"/>
      <c r="C181" s="150"/>
      <c r="D181" s="150"/>
      <c r="F181"/>
      <c r="H181"/>
    </row>
    <row r="182" spans="1:8" s="63" customFormat="1" ht="13.2">
      <c r="A182" s="149"/>
      <c r="B182" s="150"/>
      <c r="C182" s="150"/>
      <c r="D182" s="150"/>
      <c r="F182"/>
      <c r="H182"/>
    </row>
    <row r="183" spans="1:8" s="63" customFormat="1" ht="13.2">
      <c r="A183" s="149"/>
      <c r="B183" s="150"/>
      <c r="C183" s="150"/>
      <c r="D183" s="150"/>
      <c r="F183"/>
      <c r="H183"/>
    </row>
    <row r="184" spans="1:8" s="63" customFormat="1" ht="13.2">
      <c r="A184" s="149"/>
      <c r="B184" s="150"/>
      <c r="C184" s="150"/>
      <c r="D184" s="150"/>
      <c r="F184"/>
      <c r="H184"/>
    </row>
    <row r="185" spans="1:8" s="63" customFormat="1" ht="13.2">
      <c r="A185" s="149"/>
      <c r="B185" s="150"/>
      <c r="C185" s="150"/>
      <c r="D185" s="150"/>
      <c r="F185"/>
      <c r="H185"/>
    </row>
    <row r="186" spans="1:8" s="63" customFormat="1" ht="13.2">
      <c r="A186" s="149"/>
      <c r="B186" s="150"/>
      <c r="C186" s="150"/>
      <c r="D186" s="150"/>
      <c r="F186"/>
      <c r="H186"/>
    </row>
    <row r="187" spans="1:8" s="63" customFormat="1" ht="13.2">
      <c r="A187" s="149"/>
      <c r="B187" s="150"/>
      <c r="C187" s="150"/>
      <c r="D187" s="150"/>
      <c r="F187"/>
      <c r="H187"/>
    </row>
    <row r="188" spans="1:8" s="63" customFormat="1" ht="13.2">
      <c r="A188" s="149"/>
      <c r="B188" s="150"/>
      <c r="C188" s="150"/>
      <c r="D188" s="150"/>
      <c r="F188"/>
      <c r="H188"/>
    </row>
    <row r="189" spans="1:8" s="63" customFormat="1" ht="13.2">
      <c r="A189" s="149"/>
      <c r="B189" s="150"/>
      <c r="C189" s="150"/>
      <c r="D189" s="150"/>
      <c r="F189"/>
      <c r="H189"/>
    </row>
    <row r="190" spans="1:8" s="63" customFormat="1" ht="13.2">
      <c r="A190" s="149"/>
      <c r="B190" s="150"/>
      <c r="C190" s="150"/>
      <c r="D190" s="150"/>
      <c r="F190"/>
      <c r="H190"/>
    </row>
    <row r="191" spans="1:8" s="63" customFormat="1" ht="13.2">
      <c r="A191" s="149"/>
      <c r="B191" s="150"/>
      <c r="C191" s="150"/>
      <c r="D191" s="150"/>
      <c r="F191"/>
      <c r="H191"/>
    </row>
    <row r="192" spans="1:8" s="63" customFormat="1" ht="13.2">
      <c r="A192" s="149"/>
      <c r="B192" s="150"/>
      <c r="C192" s="150"/>
      <c r="D192" s="150"/>
      <c r="F192"/>
      <c r="H192"/>
    </row>
    <row r="193" spans="1:8" s="63" customFormat="1" ht="13.2">
      <c r="A193" s="149"/>
      <c r="B193" s="150"/>
      <c r="C193" s="150"/>
      <c r="D193" s="150"/>
      <c r="F193"/>
      <c r="H193"/>
    </row>
    <row r="194" spans="1:8" s="63" customFormat="1" ht="13.2">
      <c r="A194" s="149"/>
      <c r="B194" s="150"/>
      <c r="C194" s="150"/>
      <c r="D194" s="150"/>
      <c r="F194"/>
      <c r="H194"/>
    </row>
    <row r="195" spans="1:8" s="63" customFormat="1" ht="13.2">
      <c r="A195" s="149"/>
      <c r="B195" s="150"/>
      <c r="C195" s="150"/>
      <c r="D195" s="150"/>
      <c r="F195"/>
      <c r="H195"/>
    </row>
    <row r="196" spans="1:8" s="63" customFormat="1" ht="13.2">
      <c r="A196" s="149"/>
      <c r="B196" s="150"/>
      <c r="C196" s="150"/>
      <c r="D196" s="150"/>
      <c r="F196"/>
      <c r="H196"/>
    </row>
    <row r="197" spans="1:8" s="63" customFormat="1" ht="13.2">
      <c r="A197" s="149"/>
      <c r="B197" s="150"/>
      <c r="C197" s="150"/>
      <c r="D197" s="150"/>
      <c r="F197"/>
      <c r="H197"/>
    </row>
    <row r="198" spans="1:8" s="63" customFormat="1" ht="13.2">
      <c r="A198" s="149"/>
      <c r="B198" s="150"/>
      <c r="C198" s="150"/>
      <c r="D198" s="150"/>
      <c r="F198"/>
      <c r="H198"/>
    </row>
    <row r="199" spans="1:8" s="63" customFormat="1" ht="13.2">
      <c r="A199" s="149"/>
      <c r="B199" s="150"/>
      <c r="C199" s="150"/>
      <c r="D199" s="150"/>
      <c r="F199"/>
      <c r="H199"/>
    </row>
    <row r="200" spans="1:8" s="63" customFormat="1" ht="13.2">
      <c r="A200" s="149"/>
      <c r="B200" s="150"/>
      <c r="C200" s="150"/>
      <c r="D200" s="150"/>
      <c r="F200"/>
      <c r="H200"/>
    </row>
    <row r="201" spans="1:8" s="63" customFormat="1" ht="13.2">
      <c r="A201" s="149"/>
      <c r="B201" s="150"/>
      <c r="C201" s="150"/>
      <c r="D201" s="150"/>
      <c r="F201"/>
      <c r="H201"/>
    </row>
    <row r="202" spans="1:8" s="63" customFormat="1" ht="13.2">
      <c r="A202" s="149"/>
      <c r="B202" s="150"/>
      <c r="C202" s="150"/>
      <c r="D202" s="150"/>
      <c r="F202"/>
      <c r="H202"/>
    </row>
    <row r="203" spans="1:8" s="63" customFormat="1" ht="13.2">
      <c r="A203" s="149"/>
      <c r="B203" s="150"/>
      <c r="C203" s="150"/>
      <c r="D203" s="150"/>
      <c r="F203"/>
      <c r="H203"/>
    </row>
    <row r="204" spans="1:8" s="63" customFormat="1" ht="13.2">
      <c r="A204" s="149"/>
      <c r="B204" s="150"/>
      <c r="C204" s="150"/>
      <c r="D204" s="150"/>
      <c r="F204"/>
      <c r="H204"/>
    </row>
    <row r="205" spans="1:8" s="63" customFormat="1" ht="13.2">
      <c r="A205" s="149"/>
      <c r="B205" s="150"/>
      <c r="C205" s="150"/>
      <c r="D205" s="150"/>
      <c r="F205"/>
      <c r="H205"/>
    </row>
    <row r="206" spans="1:8" s="63" customFormat="1" ht="13.2">
      <c r="A206" s="149"/>
      <c r="B206" s="150"/>
      <c r="C206" s="150"/>
      <c r="D206" s="150"/>
      <c r="F206"/>
      <c r="H206"/>
    </row>
    <row r="207" spans="1:8" s="63" customFormat="1" ht="13.2">
      <c r="A207" s="149"/>
      <c r="B207" s="150"/>
      <c r="C207" s="150"/>
      <c r="D207" s="150"/>
      <c r="F207"/>
      <c r="H207"/>
    </row>
    <row r="208" spans="1:8" s="63" customFormat="1" ht="13.2">
      <c r="A208" s="149"/>
      <c r="B208" s="150"/>
      <c r="C208" s="150"/>
      <c r="D208" s="150"/>
      <c r="F208"/>
      <c r="H208"/>
    </row>
    <row r="209" spans="1:8" s="63" customFormat="1" ht="13.2">
      <c r="A209" s="149"/>
      <c r="B209" s="150"/>
      <c r="C209" s="150"/>
      <c r="D209" s="150"/>
      <c r="F209"/>
      <c r="H209"/>
    </row>
    <row r="210" spans="1:8" s="63" customFormat="1" ht="13.2">
      <c r="A210" s="149"/>
      <c r="B210" s="150"/>
      <c r="C210" s="150"/>
      <c r="D210" s="150"/>
      <c r="F210"/>
      <c r="H210"/>
    </row>
    <row r="211" spans="1:8" s="63" customFormat="1" ht="13.2">
      <c r="A211" s="149"/>
      <c r="B211" s="150"/>
      <c r="C211" s="150"/>
      <c r="D211" s="150"/>
      <c r="F211"/>
      <c r="H211"/>
    </row>
    <row r="212" spans="1:8" s="63" customFormat="1" ht="13.2">
      <c r="A212" s="149"/>
      <c r="B212" s="150"/>
      <c r="C212" s="150"/>
      <c r="D212" s="150"/>
      <c r="F212"/>
      <c r="H212"/>
    </row>
    <row r="213" spans="1:8" s="63" customFormat="1" ht="13.2">
      <c r="A213" s="149"/>
      <c r="B213" s="150"/>
      <c r="C213" s="150"/>
      <c r="D213" s="150"/>
      <c r="F213"/>
      <c r="H213"/>
    </row>
    <row r="214" spans="1:8" s="63" customFormat="1" ht="13.2">
      <c r="A214" s="149"/>
      <c r="B214" s="150"/>
      <c r="C214" s="150"/>
      <c r="D214" s="150"/>
      <c r="F214"/>
      <c r="H214"/>
    </row>
    <row r="215" spans="1:8" s="63" customFormat="1" ht="13.2">
      <c r="A215" s="149"/>
      <c r="B215" s="150"/>
      <c r="C215" s="150"/>
      <c r="D215" s="150"/>
      <c r="F215"/>
      <c r="H215"/>
    </row>
    <row r="216" spans="1:8" s="63" customFormat="1" ht="13.2">
      <c r="A216" s="149"/>
      <c r="B216" s="150"/>
      <c r="C216" s="150"/>
      <c r="D216" s="150"/>
      <c r="F216"/>
      <c r="H216"/>
    </row>
    <row r="217" spans="1:8" s="63" customFormat="1" ht="13.2">
      <c r="A217" s="149"/>
      <c r="B217" s="150"/>
      <c r="C217" s="150"/>
      <c r="D217" s="150"/>
      <c r="F217"/>
      <c r="H217"/>
    </row>
    <row r="218" spans="1:8" s="63" customFormat="1" ht="13.2">
      <c r="A218" s="149"/>
      <c r="B218" s="150"/>
      <c r="C218" s="150"/>
      <c r="D218" s="150"/>
      <c r="F218"/>
      <c r="H218"/>
    </row>
    <row r="219" spans="1:8" s="63" customFormat="1" ht="13.2">
      <c r="A219" s="149"/>
      <c r="B219" s="150"/>
      <c r="C219" s="150"/>
      <c r="D219" s="150"/>
      <c r="F219"/>
      <c r="H219"/>
    </row>
    <row r="220" spans="1:8" s="63" customFormat="1" ht="13.2">
      <c r="A220" s="149"/>
      <c r="B220" s="150"/>
      <c r="C220" s="150"/>
      <c r="D220" s="150"/>
      <c r="F220"/>
      <c r="H220"/>
    </row>
    <row r="221" spans="1:8" s="63" customFormat="1" ht="13.2">
      <c r="A221" s="149"/>
      <c r="B221" s="150"/>
      <c r="C221" s="150"/>
      <c r="D221" s="150"/>
      <c r="F221"/>
      <c r="H221"/>
    </row>
    <row r="222" spans="1:8" s="63" customFormat="1" ht="13.2">
      <c r="A222" s="149"/>
      <c r="B222" s="150"/>
      <c r="C222" s="150"/>
      <c r="D222" s="150"/>
      <c r="F222"/>
      <c r="H222"/>
    </row>
    <row r="223" spans="1:8" s="63" customFormat="1" ht="13.2">
      <c r="A223" s="149"/>
      <c r="B223" s="150"/>
      <c r="C223" s="150"/>
      <c r="D223" s="150"/>
      <c r="F223"/>
      <c r="H223"/>
    </row>
    <row r="224" spans="1:8" s="63" customFormat="1" ht="13.2">
      <c r="A224" s="149"/>
      <c r="B224" s="150"/>
      <c r="C224" s="150"/>
      <c r="D224" s="150"/>
      <c r="F224"/>
      <c r="H224"/>
    </row>
    <row r="225" spans="1:8" s="63" customFormat="1" ht="13.2">
      <c r="A225" s="149"/>
      <c r="B225" s="150"/>
      <c r="C225" s="150"/>
      <c r="D225" s="150"/>
      <c r="F225"/>
      <c r="H225"/>
    </row>
    <row r="226" spans="1:8" s="63" customFormat="1" ht="13.2">
      <c r="A226" s="149"/>
      <c r="B226" s="150"/>
      <c r="C226" s="150"/>
      <c r="D226" s="150"/>
      <c r="F226"/>
      <c r="H226"/>
    </row>
    <row r="227" spans="1:8" s="63" customFormat="1" ht="13.2">
      <c r="A227" s="149"/>
      <c r="B227" s="150"/>
      <c r="C227" s="150"/>
      <c r="D227" s="150"/>
      <c r="F227"/>
      <c r="H227"/>
    </row>
    <row r="228" spans="1:8" s="63" customFormat="1" ht="13.2">
      <c r="A228" s="149"/>
      <c r="B228" s="150"/>
      <c r="C228" s="150"/>
      <c r="D228" s="150"/>
      <c r="F228"/>
      <c r="H228"/>
    </row>
    <row r="229" spans="1:8" s="63" customFormat="1" ht="13.2">
      <c r="A229" s="149"/>
      <c r="B229" s="150"/>
      <c r="C229" s="150"/>
      <c r="D229" s="150"/>
      <c r="F229"/>
      <c r="H229"/>
    </row>
    <row r="230" spans="1:8" s="63" customFormat="1" ht="13.2">
      <c r="A230" s="149"/>
      <c r="B230" s="150"/>
      <c r="C230" s="150"/>
      <c r="D230" s="150"/>
      <c r="F230"/>
      <c r="H230"/>
    </row>
    <row r="231" spans="1:8" s="63" customFormat="1" ht="13.2">
      <c r="A231" s="149"/>
      <c r="B231" s="150"/>
      <c r="C231" s="150"/>
      <c r="D231" s="150"/>
      <c r="F231"/>
      <c r="H231"/>
    </row>
    <row r="232" spans="1:8" s="63" customFormat="1" ht="13.2">
      <c r="A232" s="149"/>
      <c r="B232" s="150"/>
      <c r="C232" s="150"/>
      <c r="D232" s="150"/>
      <c r="F232"/>
      <c r="H232"/>
    </row>
    <row r="233" spans="1:8" s="63" customFormat="1" ht="13.2">
      <c r="A233" s="149"/>
      <c r="B233" s="150"/>
      <c r="C233" s="150"/>
      <c r="D233" s="150"/>
      <c r="F233"/>
      <c r="H233"/>
    </row>
    <row r="234" spans="1:8" s="63" customFormat="1" ht="13.2">
      <c r="A234" s="149"/>
      <c r="B234" s="150"/>
      <c r="C234" s="150"/>
      <c r="D234" s="150"/>
      <c r="F234"/>
      <c r="H234"/>
    </row>
    <row r="235" spans="1:8" s="63" customFormat="1" ht="13.2">
      <c r="A235" s="149"/>
      <c r="B235" s="150"/>
      <c r="C235" s="150"/>
      <c r="D235" s="150"/>
      <c r="F235"/>
      <c r="H235"/>
    </row>
    <row r="236" spans="1:8" s="63" customFormat="1" ht="13.2">
      <c r="A236" s="149"/>
      <c r="B236" s="150"/>
      <c r="C236" s="150"/>
      <c r="D236" s="150"/>
      <c r="F236"/>
      <c r="H236"/>
    </row>
    <row r="237" spans="1:8" s="63" customFormat="1" ht="13.2">
      <c r="A237" s="149"/>
      <c r="B237" s="150"/>
      <c r="C237" s="150"/>
      <c r="D237" s="150"/>
      <c r="F237"/>
      <c r="H237"/>
    </row>
    <row r="238" spans="1:8" s="63" customFormat="1" ht="13.2">
      <c r="A238" s="149"/>
      <c r="B238" s="150"/>
      <c r="C238" s="150"/>
      <c r="D238" s="150"/>
      <c r="F238"/>
      <c r="H238"/>
    </row>
    <row r="239" spans="1:8" s="63" customFormat="1" ht="13.2">
      <c r="A239" s="149"/>
      <c r="B239" s="150"/>
      <c r="C239" s="150"/>
      <c r="D239" s="150"/>
      <c r="F239"/>
      <c r="H239"/>
    </row>
    <row r="240" spans="1:8" s="63" customFormat="1" ht="13.2">
      <c r="A240" s="149"/>
      <c r="B240" s="150"/>
      <c r="C240" s="150"/>
      <c r="D240" s="150"/>
      <c r="F240"/>
      <c r="H240"/>
    </row>
    <row r="241" spans="1:8" s="63" customFormat="1" ht="13.2">
      <c r="A241" s="149"/>
      <c r="B241" s="150"/>
      <c r="C241" s="150"/>
      <c r="D241" s="150"/>
      <c r="F241"/>
      <c r="H241"/>
    </row>
    <row r="242" spans="1:8" s="63" customFormat="1" ht="13.2">
      <c r="A242" s="149"/>
      <c r="B242" s="150"/>
      <c r="C242" s="150"/>
      <c r="D242" s="150"/>
      <c r="F242"/>
      <c r="H242"/>
    </row>
    <row r="243" spans="1:8" s="63" customFormat="1" ht="13.2">
      <c r="A243" s="149"/>
      <c r="B243" s="150"/>
      <c r="C243" s="150"/>
      <c r="D243" s="150"/>
      <c r="F243"/>
      <c r="H243"/>
    </row>
    <row r="244" spans="1:8" s="63" customFormat="1" ht="13.2">
      <c r="A244" s="149"/>
      <c r="B244" s="150"/>
      <c r="C244" s="150"/>
      <c r="D244" s="150"/>
      <c r="F244"/>
      <c r="H244"/>
    </row>
    <row r="245" spans="1:8" s="63" customFormat="1" ht="13.2">
      <c r="A245" s="149"/>
      <c r="B245" s="150"/>
      <c r="C245" s="150"/>
      <c r="D245" s="150"/>
      <c r="F245"/>
      <c r="H245"/>
    </row>
    <row r="246" spans="1:8" s="63" customFormat="1" ht="13.2">
      <c r="A246" s="149"/>
      <c r="B246" s="150"/>
      <c r="C246" s="150"/>
      <c r="D246" s="150"/>
      <c r="F246"/>
      <c r="H246"/>
    </row>
    <row r="247" spans="1:8" s="63" customFormat="1" ht="13.2">
      <c r="A247" s="149"/>
      <c r="B247" s="150"/>
      <c r="C247" s="150"/>
      <c r="D247" s="150"/>
      <c r="F247"/>
      <c r="H247"/>
    </row>
    <row r="248" spans="1:8" s="63" customFormat="1" ht="13.2">
      <c r="A248" s="149"/>
      <c r="B248" s="150"/>
      <c r="C248" s="150"/>
      <c r="D248" s="150"/>
      <c r="F248"/>
      <c r="H248"/>
    </row>
    <row r="249" spans="1:8" s="63" customFormat="1" ht="13.2">
      <c r="A249" s="149"/>
      <c r="B249" s="150"/>
      <c r="C249" s="150"/>
      <c r="D249" s="150"/>
      <c r="F249"/>
      <c r="H249"/>
    </row>
    <row r="250" spans="1:8" s="63" customFormat="1" ht="13.2">
      <c r="A250" s="149"/>
      <c r="B250" s="150"/>
      <c r="C250" s="150"/>
      <c r="D250" s="150"/>
      <c r="F250"/>
      <c r="H250"/>
    </row>
    <row r="251" spans="1:8" s="63" customFormat="1" ht="13.2">
      <c r="A251" s="149"/>
      <c r="B251" s="150"/>
      <c r="C251" s="150"/>
      <c r="D251" s="150"/>
      <c r="F251"/>
      <c r="H251"/>
    </row>
    <row r="252" spans="1:8" s="63" customFormat="1" ht="13.2">
      <c r="A252" s="149"/>
      <c r="B252" s="150"/>
      <c r="C252" s="150"/>
      <c r="D252" s="150"/>
      <c r="F252"/>
      <c r="H252"/>
    </row>
    <row r="253" spans="1:8" s="63" customFormat="1" ht="13.2">
      <c r="A253" s="149"/>
      <c r="B253" s="150"/>
      <c r="C253" s="150"/>
      <c r="D253" s="150"/>
      <c r="F253"/>
      <c r="H253"/>
    </row>
    <row r="254" spans="1:8" s="63" customFormat="1" ht="13.2">
      <c r="A254" s="149"/>
      <c r="B254" s="150"/>
      <c r="C254" s="150"/>
      <c r="D254" s="150"/>
      <c r="F254"/>
      <c r="H254"/>
    </row>
    <row r="255" spans="1:8" s="63" customFormat="1" ht="13.2">
      <c r="A255" s="149"/>
      <c r="B255" s="150"/>
      <c r="C255" s="150"/>
      <c r="D255" s="150"/>
      <c r="F255"/>
      <c r="H255"/>
    </row>
    <row r="256" spans="1:8" s="63" customFormat="1" ht="13.2">
      <c r="A256" s="149"/>
      <c r="B256" s="150"/>
      <c r="C256" s="150"/>
      <c r="D256" s="150"/>
      <c r="F256"/>
      <c r="H256"/>
    </row>
    <row r="257" spans="1:8" s="63" customFormat="1" ht="13.2">
      <c r="A257" s="149"/>
      <c r="B257" s="150"/>
      <c r="C257" s="150"/>
      <c r="D257" s="150"/>
      <c r="F257"/>
      <c r="H257"/>
    </row>
    <row r="258" spans="1:8" s="63" customFormat="1" ht="13.2">
      <c r="A258" s="149"/>
      <c r="B258" s="150"/>
      <c r="C258" s="150"/>
      <c r="D258" s="150"/>
      <c r="F258"/>
      <c r="H258"/>
    </row>
    <row r="259" spans="1:8" s="63" customFormat="1" ht="13.2">
      <c r="A259" s="149"/>
      <c r="B259" s="150"/>
      <c r="C259" s="150"/>
      <c r="D259" s="150"/>
      <c r="F259"/>
      <c r="H259"/>
    </row>
    <row r="260" spans="1:8" s="63" customFormat="1" ht="13.2">
      <c r="A260" s="149"/>
      <c r="B260" s="150"/>
      <c r="C260" s="150"/>
      <c r="D260" s="150"/>
      <c r="F260"/>
      <c r="H260"/>
    </row>
    <row r="261" spans="1:8" s="63" customFormat="1" ht="13.2">
      <c r="A261" s="149"/>
      <c r="B261" s="150"/>
      <c r="C261" s="150"/>
      <c r="D261" s="150"/>
      <c r="F261"/>
      <c r="H261"/>
    </row>
    <row r="262" spans="1:8" s="63" customFormat="1" ht="13.2">
      <c r="A262" s="149"/>
      <c r="B262" s="150"/>
      <c r="C262" s="150"/>
      <c r="D262" s="150"/>
      <c r="F262"/>
      <c r="H262"/>
    </row>
    <row r="263" spans="1:8" s="63" customFormat="1" ht="13.2">
      <c r="A263" s="149"/>
      <c r="B263" s="150"/>
      <c r="C263" s="150"/>
      <c r="D263" s="150"/>
      <c r="F263"/>
      <c r="H263"/>
    </row>
    <row r="264" spans="1:8" s="63" customFormat="1" ht="13.2">
      <c r="A264" s="149"/>
      <c r="B264" s="150"/>
      <c r="C264" s="150"/>
      <c r="D264" s="150"/>
      <c r="F264"/>
      <c r="H264"/>
    </row>
    <row r="265" spans="1:8" s="63" customFormat="1" ht="13.2">
      <c r="A265" s="149"/>
      <c r="B265" s="150"/>
      <c r="C265" s="150"/>
      <c r="D265" s="150"/>
      <c r="F265"/>
      <c r="H265"/>
    </row>
    <row r="266" spans="1:8" s="63" customFormat="1" ht="13.2">
      <c r="A266" s="149"/>
      <c r="B266" s="150"/>
      <c r="C266" s="150"/>
      <c r="D266" s="150"/>
      <c r="F266"/>
      <c r="H266"/>
    </row>
    <row r="267" spans="1:8" s="63" customFormat="1" ht="13.2">
      <c r="A267" s="149"/>
      <c r="B267" s="150"/>
      <c r="C267" s="150"/>
      <c r="D267" s="150"/>
      <c r="F267"/>
      <c r="H267"/>
    </row>
    <row r="268" spans="1:8" s="63" customFormat="1" ht="13.2">
      <c r="A268" s="149"/>
      <c r="B268" s="150"/>
      <c r="C268" s="150"/>
      <c r="D268" s="150"/>
      <c r="F268"/>
      <c r="H268"/>
    </row>
    <row r="269" spans="1:8" s="63" customFormat="1" ht="13.2">
      <c r="A269" s="149"/>
      <c r="B269" s="150"/>
      <c r="C269" s="150"/>
      <c r="D269" s="150"/>
      <c r="F269"/>
      <c r="H269"/>
    </row>
    <row r="270" spans="1:8" s="63" customFormat="1" ht="13.2">
      <c r="A270" s="149"/>
      <c r="B270" s="150"/>
      <c r="C270" s="150"/>
      <c r="D270" s="150"/>
      <c r="F270"/>
      <c r="H270"/>
    </row>
    <row r="271" spans="1:8" s="63" customFormat="1" ht="13.2">
      <c r="A271" s="149"/>
      <c r="B271" s="150"/>
      <c r="C271" s="150"/>
      <c r="D271" s="150"/>
      <c r="F271"/>
      <c r="H271"/>
    </row>
    <row r="272" spans="1:8" s="63" customFormat="1" ht="13.2">
      <c r="A272" s="149"/>
      <c r="B272" s="150"/>
      <c r="C272" s="150"/>
      <c r="D272" s="150"/>
      <c r="F272"/>
      <c r="H272"/>
    </row>
    <row r="273" spans="1:8" s="63" customFormat="1" ht="13.2">
      <c r="A273" s="149"/>
      <c r="B273" s="150"/>
      <c r="C273" s="150"/>
      <c r="D273" s="150"/>
      <c r="F273"/>
      <c r="H273"/>
    </row>
    <row r="274" spans="1:8" s="63" customFormat="1" ht="13.2">
      <c r="A274" s="149"/>
      <c r="B274" s="150"/>
      <c r="C274" s="150"/>
      <c r="D274" s="150"/>
      <c r="F274"/>
      <c r="H274"/>
    </row>
    <row r="275" spans="1:8" s="63" customFormat="1" ht="13.2">
      <c r="A275" s="149"/>
      <c r="B275" s="150"/>
      <c r="C275" s="150"/>
      <c r="D275" s="150"/>
      <c r="F275"/>
      <c r="H275"/>
    </row>
    <row r="276" spans="1:8" s="63" customFormat="1" ht="13.2">
      <c r="A276" s="149"/>
      <c r="B276" s="150"/>
      <c r="C276" s="150"/>
      <c r="D276" s="150"/>
      <c r="F276"/>
      <c r="H276"/>
    </row>
    <row r="277" spans="1:8" s="63" customFormat="1" ht="13.2">
      <c r="A277" s="149"/>
      <c r="B277" s="150"/>
      <c r="C277" s="150"/>
      <c r="D277" s="150"/>
      <c r="F277"/>
      <c r="H277"/>
    </row>
    <row r="278" spans="1:8" s="63" customFormat="1" ht="13.2">
      <c r="A278" s="149"/>
      <c r="B278" s="150"/>
      <c r="C278" s="150"/>
      <c r="D278" s="150"/>
      <c r="F278"/>
      <c r="H278"/>
    </row>
    <row r="279" spans="1:8" s="63" customFormat="1" ht="13.2">
      <c r="A279" s="149"/>
      <c r="B279" s="150"/>
      <c r="C279" s="150"/>
      <c r="D279" s="150"/>
      <c r="F279"/>
      <c r="H279"/>
    </row>
    <row r="280" spans="1:8" s="63" customFormat="1" ht="13.2">
      <c r="A280" s="149"/>
      <c r="B280" s="150"/>
      <c r="C280" s="150"/>
      <c r="D280" s="150"/>
      <c r="F280"/>
      <c r="H280"/>
    </row>
    <row r="281" spans="1:8" s="63" customFormat="1" ht="13.2">
      <c r="A281" s="149"/>
      <c r="B281" s="150"/>
      <c r="C281" s="150"/>
      <c r="D281" s="150"/>
      <c r="F281"/>
      <c r="H281"/>
    </row>
    <row r="282" spans="1:8" s="63" customFormat="1" ht="13.2">
      <c r="A282" s="149"/>
      <c r="B282" s="150"/>
      <c r="C282" s="150"/>
      <c r="D282" s="150"/>
      <c r="F282"/>
      <c r="H282"/>
    </row>
    <row r="283" spans="1:8" s="63" customFormat="1" ht="13.2">
      <c r="A283" s="149"/>
      <c r="B283" s="150"/>
      <c r="C283" s="150"/>
      <c r="D283" s="150"/>
      <c r="F283"/>
      <c r="H283"/>
    </row>
    <row r="284" spans="1:8" s="63" customFormat="1" ht="13.2">
      <c r="A284" s="149"/>
      <c r="B284" s="150"/>
      <c r="C284" s="150"/>
      <c r="D284" s="150"/>
      <c r="F284"/>
      <c r="H284"/>
    </row>
    <row r="285" spans="1:8" s="63" customFormat="1" ht="13.2">
      <c r="A285" s="149"/>
      <c r="B285" s="150"/>
      <c r="C285" s="150"/>
      <c r="D285" s="150"/>
      <c r="F285"/>
      <c r="H285"/>
    </row>
    <row r="286" spans="1:8" s="63" customFormat="1" ht="13.2">
      <c r="A286" s="149"/>
      <c r="B286" s="150"/>
      <c r="C286" s="150"/>
      <c r="D286" s="150"/>
      <c r="F286"/>
      <c r="H286"/>
    </row>
    <row r="287" spans="1:8" s="63" customFormat="1" ht="13.2">
      <c r="A287" s="149"/>
      <c r="B287" s="150"/>
      <c r="C287" s="150"/>
      <c r="D287" s="150"/>
      <c r="F287"/>
      <c r="H287"/>
    </row>
    <row r="288" spans="1:8" s="63" customFormat="1" ht="13.2">
      <c r="A288" s="149"/>
      <c r="B288" s="150"/>
      <c r="C288" s="150"/>
      <c r="D288" s="150"/>
      <c r="F288"/>
      <c r="H288"/>
    </row>
    <row r="289" spans="1:8" s="63" customFormat="1" ht="13.2">
      <c r="A289" s="149"/>
      <c r="B289" s="150"/>
      <c r="C289" s="150"/>
      <c r="D289" s="150"/>
      <c r="F289"/>
      <c r="H289"/>
    </row>
    <row r="290" spans="1:8" s="63" customFormat="1" ht="13.2">
      <c r="A290" s="149"/>
      <c r="B290" s="150"/>
      <c r="C290" s="150"/>
      <c r="D290" s="150"/>
      <c r="F290"/>
      <c r="H290"/>
    </row>
    <row r="291" spans="1:8" s="63" customFormat="1" ht="13.2">
      <c r="A291" s="149"/>
      <c r="B291" s="150"/>
      <c r="C291" s="150"/>
      <c r="D291" s="150"/>
      <c r="F291"/>
      <c r="H291"/>
    </row>
    <row r="292" spans="1:8" s="63" customFormat="1" ht="13.2">
      <c r="A292" s="149"/>
      <c r="B292" s="150"/>
      <c r="C292" s="150"/>
      <c r="D292" s="150"/>
      <c r="F292"/>
      <c r="H292"/>
    </row>
    <row r="293" spans="1:8" s="63" customFormat="1" ht="13.2">
      <c r="A293" s="149"/>
      <c r="B293" s="150"/>
      <c r="C293" s="150"/>
      <c r="D293" s="150"/>
      <c r="F293"/>
      <c r="H293"/>
    </row>
    <row r="294" spans="1:8" s="63" customFormat="1" ht="13.2">
      <c r="A294" s="149"/>
      <c r="B294" s="150"/>
      <c r="C294" s="150"/>
      <c r="D294" s="150"/>
      <c r="F294"/>
      <c r="H294"/>
    </row>
    <row r="295" spans="1:8" s="63" customFormat="1" ht="13.2">
      <c r="A295" s="149"/>
      <c r="B295" s="150"/>
      <c r="C295" s="150"/>
      <c r="D295" s="150"/>
      <c r="F295"/>
      <c r="H295"/>
    </row>
    <row r="296" spans="1:8" s="63" customFormat="1" ht="13.2">
      <c r="A296" s="149"/>
      <c r="B296" s="150"/>
      <c r="C296" s="150"/>
      <c r="D296" s="150"/>
      <c r="F296"/>
      <c r="H296"/>
    </row>
    <row r="297" spans="1:8" s="63" customFormat="1" ht="13.2">
      <c r="A297" s="149"/>
      <c r="B297" s="150"/>
      <c r="C297" s="150"/>
      <c r="D297" s="150"/>
      <c r="F297"/>
      <c r="H297"/>
    </row>
    <row r="298" spans="1:8" s="63" customFormat="1" ht="13.2">
      <c r="A298" s="149"/>
      <c r="B298" s="150"/>
      <c r="C298" s="150"/>
      <c r="D298" s="150"/>
      <c r="F298"/>
      <c r="H298"/>
    </row>
    <row r="299" spans="1:8" s="63" customFormat="1" ht="13.2">
      <c r="A299" s="149"/>
      <c r="B299" s="150"/>
      <c r="C299" s="150"/>
      <c r="D299" s="150"/>
      <c r="F299"/>
      <c r="H299"/>
    </row>
    <row r="300" spans="1:8" s="63" customFormat="1" ht="13.2">
      <c r="A300" s="149"/>
      <c r="B300" s="150"/>
      <c r="C300" s="150"/>
      <c r="D300" s="150"/>
      <c r="F300"/>
      <c r="H300"/>
    </row>
    <row r="301" spans="1:8" s="63" customFormat="1" ht="13.2">
      <c r="A301" s="149"/>
      <c r="B301" s="150"/>
      <c r="C301" s="150"/>
      <c r="D301" s="150"/>
      <c r="F301"/>
      <c r="H301"/>
    </row>
    <row r="302" spans="1:8" s="63" customFormat="1" ht="13.2">
      <c r="A302" s="149"/>
      <c r="B302" s="150"/>
      <c r="C302" s="150"/>
      <c r="D302" s="150"/>
      <c r="F302"/>
      <c r="H302"/>
    </row>
    <row r="303" spans="1:8" s="63" customFormat="1" ht="13.2">
      <c r="A303" s="149"/>
      <c r="B303" s="150"/>
      <c r="C303" s="150"/>
      <c r="D303" s="150"/>
      <c r="F303"/>
      <c r="H303"/>
    </row>
    <row r="304" spans="1:8" s="63" customFormat="1" ht="13.2">
      <c r="A304" s="149"/>
      <c r="B304" s="150"/>
      <c r="C304" s="150"/>
      <c r="D304" s="150"/>
      <c r="F304"/>
      <c r="H304"/>
    </row>
    <row r="305" spans="1:8" s="63" customFormat="1" ht="13.2">
      <c r="A305" s="149"/>
      <c r="B305" s="150"/>
      <c r="C305" s="150"/>
      <c r="D305" s="150"/>
      <c r="F305"/>
      <c r="H305"/>
    </row>
    <row r="306" spans="1:8" s="63" customFormat="1" ht="13.2">
      <c r="A306" s="149"/>
      <c r="B306" s="150"/>
      <c r="C306" s="150"/>
      <c r="D306" s="150"/>
      <c r="F306"/>
      <c r="H306"/>
    </row>
    <row r="307" spans="1:8" s="63" customFormat="1" ht="13.2">
      <c r="A307" s="149"/>
      <c r="B307" s="150"/>
      <c r="C307" s="150"/>
      <c r="D307" s="150"/>
      <c r="F307"/>
      <c r="H307"/>
    </row>
    <row r="308" spans="1:8" s="63" customFormat="1" ht="13.2">
      <c r="A308" s="149"/>
      <c r="B308" s="150"/>
      <c r="C308" s="150"/>
      <c r="D308" s="150"/>
      <c r="F308"/>
      <c r="H308"/>
    </row>
    <row r="309" spans="1:8" s="63" customFormat="1" ht="13.2">
      <c r="A309" s="149"/>
      <c r="B309" s="150"/>
      <c r="C309" s="150"/>
      <c r="D309" s="150"/>
      <c r="F309"/>
      <c r="H309"/>
    </row>
    <row r="310" spans="1:8" s="63" customFormat="1" ht="13.2">
      <c r="A310" s="149"/>
      <c r="B310" s="150"/>
      <c r="C310" s="150"/>
      <c r="D310" s="150"/>
      <c r="F310"/>
      <c r="H310"/>
    </row>
    <row r="311" spans="1:8" s="63" customFormat="1" ht="13.2">
      <c r="A311" s="149"/>
      <c r="B311" s="150"/>
      <c r="C311" s="150"/>
      <c r="D311" s="150"/>
      <c r="F311"/>
      <c r="H311"/>
    </row>
    <row r="312" spans="1:8" s="63" customFormat="1" ht="13.2">
      <c r="A312" s="149"/>
      <c r="B312" s="150"/>
      <c r="C312" s="150"/>
      <c r="D312" s="150"/>
      <c r="F312"/>
      <c r="H312"/>
    </row>
    <row r="313" spans="1:8" s="63" customFormat="1" ht="13.2">
      <c r="A313" s="149"/>
      <c r="B313" s="150"/>
      <c r="C313" s="150"/>
      <c r="D313" s="150"/>
      <c r="F313"/>
      <c r="H313"/>
    </row>
    <row r="314" spans="1:8" s="63" customFormat="1" ht="13.2">
      <c r="A314" s="149"/>
      <c r="B314" s="150"/>
      <c r="C314" s="150"/>
      <c r="D314" s="150"/>
      <c r="F314"/>
      <c r="H314"/>
    </row>
    <row r="315" spans="1:8" s="63" customFormat="1" ht="13.2">
      <c r="A315" s="149"/>
      <c r="B315" s="150"/>
      <c r="C315" s="150"/>
      <c r="D315" s="150"/>
      <c r="F315"/>
      <c r="H315"/>
    </row>
    <row r="316" spans="1:8" s="63" customFormat="1" ht="13.2">
      <c r="A316" s="149"/>
      <c r="B316" s="150"/>
      <c r="C316" s="150"/>
      <c r="D316" s="150"/>
      <c r="F316"/>
      <c r="H316"/>
    </row>
    <row r="317" spans="1:8" s="63" customFormat="1" ht="13.2">
      <c r="A317" s="149"/>
      <c r="B317" s="150"/>
      <c r="C317" s="150"/>
      <c r="D317" s="150"/>
      <c r="F317"/>
      <c r="H317"/>
    </row>
    <row r="318" spans="1:8" s="63" customFormat="1" ht="13.2">
      <c r="A318" s="149"/>
      <c r="B318" s="150"/>
      <c r="C318" s="150"/>
      <c r="D318" s="150"/>
      <c r="F318"/>
      <c r="H318"/>
    </row>
    <row r="319" spans="1:8" s="63" customFormat="1" ht="13.2">
      <c r="A319" s="149"/>
      <c r="B319" s="150"/>
      <c r="C319" s="150"/>
      <c r="D319" s="150"/>
      <c r="F319"/>
      <c r="H319"/>
    </row>
    <row r="320" spans="1:8" s="63" customFormat="1" ht="13.2">
      <c r="A320" s="149"/>
      <c r="B320" s="150"/>
      <c r="C320" s="150"/>
      <c r="D320" s="150"/>
      <c r="F320"/>
      <c r="H320"/>
    </row>
    <row r="321" spans="1:8" s="63" customFormat="1" ht="13.2">
      <c r="A321" s="149"/>
      <c r="B321" s="150"/>
      <c r="C321" s="150"/>
      <c r="D321" s="150"/>
      <c r="F321"/>
      <c r="H321"/>
    </row>
    <row r="322" spans="1:8" s="63" customFormat="1" ht="13.2">
      <c r="A322" s="149"/>
      <c r="B322" s="150"/>
      <c r="C322" s="150"/>
      <c r="D322" s="150"/>
      <c r="F322"/>
      <c r="H322"/>
    </row>
    <row r="323" spans="1:8" s="63" customFormat="1" ht="13.2">
      <c r="A323" s="149"/>
      <c r="B323" s="150"/>
      <c r="C323" s="150"/>
      <c r="D323" s="150"/>
      <c r="F323"/>
      <c r="H323"/>
    </row>
    <row r="324" spans="1:8" s="63" customFormat="1" ht="13.2">
      <c r="A324" s="149"/>
      <c r="B324" s="150"/>
      <c r="C324" s="150"/>
      <c r="D324" s="150"/>
      <c r="F324"/>
      <c r="H324"/>
    </row>
    <row r="325" spans="1:8" s="63" customFormat="1" ht="13.2">
      <c r="A325" s="149"/>
      <c r="B325" s="150"/>
      <c r="C325" s="150"/>
      <c r="D325" s="150"/>
      <c r="F325"/>
      <c r="H325"/>
    </row>
    <row r="326" spans="1:8" s="63" customFormat="1" ht="13.2">
      <c r="A326" s="149"/>
      <c r="B326" s="150"/>
      <c r="C326" s="150"/>
      <c r="D326" s="150"/>
      <c r="F326"/>
      <c r="H326"/>
    </row>
    <row r="327" spans="1:8" s="63" customFormat="1" ht="13.2">
      <c r="A327" s="149"/>
      <c r="B327" s="150"/>
      <c r="C327" s="150"/>
      <c r="D327" s="150"/>
      <c r="F327"/>
      <c r="H327"/>
    </row>
    <row r="328" spans="1:8" s="63" customFormat="1" ht="13.2">
      <c r="A328" s="149"/>
      <c r="B328" s="150"/>
      <c r="C328" s="150"/>
      <c r="D328" s="150"/>
      <c r="F328"/>
      <c r="H328"/>
    </row>
    <row r="329" spans="1:8" s="63" customFormat="1" ht="13.2">
      <c r="A329" s="149"/>
      <c r="B329" s="150"/>
      <c r="C329" s="150"/>
      <c r="D329" s="150"/>
      <c r="F329"/>
      <c r="H329"/>
    </row>
    <row r="330" spans="1:8" s="63" customFormat="1" ht="13.2">
      <c r="A330" s="149"/>
      <c r="B330" s="150"/>
      <c r="C330" s="150"/>
      <c r="D330" s="150"/>
      <c r="F330"/>
      <c r="H330"/>
    </row>
    <row r="331" spans="1:8" s="63" customFormat="1" ht="13.2">
      <c r="A331" s="149"/>
      <c r="B331" s="150"/>
      <c r="C331" s="150"/>
      <c r="D331" s="150"/>
      <c r="F331"/>
      <c r="H331"/>
    </row>
    <row r="332" spans="1:8" s="63" customFormat="1" ht="13.2">
      <c r="A332" s="149"/>
      <c r="B332" s="150"/>
      <c r="C332" s="150"/>
      <c r="D332" s="150"/>
      <c r="F332"/>
      <c r="H332"/>
    </row>
    <row r="333" spans="1:8" s="63" customFormat="1" ht="13.2">
      <c r="A333" s="149"/>
      <c r="B333" s="150"/>
      <c r="C333" s="150"/>
      <c r="D333" s="150"/>
      <c r="F333"/>
      <c r="H333"/>
    </row>
    <row r="334" spans="1:8" s="63" customFormat="1" ht="13.2">
      <c r="A334" s="149"/>
      <c r="B334" s="150"/>
      <c r="C334" s="150"/>
      <c r="D334" s="150"/>
      <c r="F334"/>
      <c r="H334"/>
    </row>
    <row r="335" spans="1:8" s="63" customFormat="1" ht="13.2">
      <c r="A335" s="149"/>
      <c r="B335" s="150"/>
      <c r="C335" s="150"/>
      <c r="D335" s="150"/>
      <c r="F335"/>
      <c r="H335"/>
    </row>
    <row r="336" spans="1:8" s="63" customFormat="1" ht="13.2">
      <c r="A336" s="149"/>
      <c r="B336" s="150"/>
      <c r="C336" s="150"/>
      <c r="D336" s="150"/>
      <c r="F336"/>
      <c r="H336"/>
    </row>
    <row r="337" spans="1:8" s="63" customFormat="1" ht="13.2">
      <c r="A337" s="149"/>
      <c r="B337" s="150"/>
      <c r="C337" s="150"/>
      <c r="D337" s="150"/>
      <c r="F337"/>
      <c r="H337"/>
    </row>
    <row r="338" spans="1:8" s="63" customFormat="1" ht="13.2">
      <c r="A338" s="149"/>
      <c r="B338" s="150"/>
      <c r="C338" s="150"/>
      <c r="D338" s="150"/>
      <c r="F338"/>
      <c r="H338"/>
    </row>
    <row r="339" spans="1:8" s="63" customFormat="1" ht="13.2">
      <c r="A339" s="149"/>
      <c r="B339" s="150"/>
      <c r="C339" s="150"/>
      <c r="D339" s="150"/>
      <c r="F339"/>
      <c r="H339"/>
    </row>
    <row r="340" spans="1:8" s="63" customFormat="1" ht="13.2">
      <c r="A340" s="149"/>
      <c r="B340" s="150"/>
      <c r="C340" s="150"/>
      <c r="D340" s="150"/>
      <c r="F340"/>
      <c r="H340"/>
    </row>
    <row r="341" spans="1:8" s="63" customFormat="1" ht="13.2">
      <c r="A341" s="149"/>
      <c r="B341" s="150"/>
      <c r="C341" s="150"/>
      <c r="D341" s="150"/>
      <c r="F341"/>
      <c r="H341"/>
    </row>
    <row r="342" spans="1:8" s="63" customFormat="1" ht="13.2">
      <c r="A342" s="149"/>
      <c r="B342" s="150"/>
      <c r="C342" s="150"/>
      <c r="D342" s="150"/>
      <c r="F342"/>
      <c r="H342"/>
    </row>
    <row r="343" spans="1:8" s="63" customFormat="1" ht="13.2">
      <c r="A343" s="149"/>
      <c r="B343" s="150"/>
      <c r="C343" s="150"/>
      <c r="D343" s="150"/>
      <c r="F343"/>
      <c r="H343"/>
    </row>
    <row r="344" spans="1:8" s="63" customFormat="1" ht="13.2">
      <c r="A344" s="149"/>
      <c r="B344" s="150"/>
      <c r="C344" s="150"/>
      <c r="D344" s="150"/>
      <c r="F344"/>
      <c r="H344"/>
    </row>
    <row r="345" spans="1:8" s="63" customFormat="1" ht="13.2">
      <c r="A345" s="149"/>
      <c r="B345" s="150"/>
      <c r="C345" s="150"/>
      <c r="D345" s="150"/>
      <c r="F345"/>
      <c r="H345"/>
    </row>
    <row r="346" spans="1:8" s="63" customFormat="1" ht="13.2">
      <c r="A346" s="149"/>
      <c r="B346" s="150"/>
      <c r="C346" s="150"/>
      <c r="D346" s="150"/>
      <c r="F346"/>
      <c r="H346"/>
    </row>
    <row r="347" spans="1:8" s="63" customFormat="1" ht="13.2">
      <c r="A347" s="149"/>
      <c r="B347" s="150"/>
      <c r="C347" s="150"/>
      <c r="D347" s="150"/>
      <c r="F347"/>
      <c r="H347"/>
    </row>
    <row r="348" spans="1:8" s="63" customFormat="1" ht="13.2">
      <c r="A348" s="149"/>
      <c r="B348" s="150"/>
      <c r="C348" s="150"/>
      <c r="D348" s="150"/>
      <c r="F348"/>
      <c r="H348"/>
    </row>
    <row r="349" spans="1:8" s="63" customFormat="1" ht="13.2">
      <c r="A349" s="149"/>
      <c r="B349" s="150"/>
      <c r="C349" s="150"/>
      <c r="D349" s="150"/>
      <c r="F349"/>
      <c r="H349"/>
    </row>
    <row r="350" spans="1:8" s="63" customFormat="1" ht="13.2">
      <c r="A350" s="149"/>
      <c r="B350" s="150"/>
      <c r="C350" s="150"/>
      <c r="D350" s="150"/>
      <c r="F350"/>
      <c r="H350"/>
    </row>
    <row r="351" spans="1:8" s="63" customFormat="1" ht="13.2">
      <c r="A351" s="149"/>
      <c r="B351" s="150"/>
      <c r="C351" s="150"/>
      <c r="D351" s="150"/>
      <c r="F351"/>
      <c r="H351"/>
    </row>
    <row r="352" spans="1:8" s="63" customFormat="1" ht="13.2">
      <c r="A352" s="149"/>
      <c r="B352" s="150"/>
      <c r="C352" s="150"/>
      <c r="D352" s="150"/>
      <c r="F352"/>
      <c r="H352"/>
    </row>
    <row r="353" spans="1:8" s="63" customFormat="1" ht="13.2">
      <c r="A353" s="149"/>
      <c r="B353" s="150"/>
      <c r="C353" s="150"/>
      <c r="D353" s="150"/>
      <c r="F353"/>
      <c r="H353"/>
    </row>
    <row r="354" spans="1:8" s="63" customFormat="1" ht="13.2">
      <c r="A354" s="149"/>
      <c r="B354" s="150"/>
      <c r="C354" s="150"/>
      <c r="D354" s="150"/>
      <c r="F354"/>
      <c r="H354"/>
    </row>
    <row r="355" spans="1:8" s="63" customFormat="1" ht="13.2">
      <c r="A355" s="149"/>
      <c r="B355" s="150"/>
      <c r="C355" s="150"/>
      <c r="D355" s="150"/>
      <c r="F355"/>
      <c r="H355"/>
    </row>
    <row r="356" spans="1:8" s="63" customFormat="1" ht="13.2">
      <c r="A356" s="149"/>
      <c r="B356" s="150"/>
      <c r="C356" s="150"/>
      <c r="D356" s="150"/>
      <c r="F356"/>
      <c r="H356"/>
    </row>
    <row r="357" spans="1:8" s="63" customFormat="1" ht="13.2">
      <c r="A357" s="149"/>
      <c r="B357" s="150"/>
      <c r="C357" s="150"/>
      <c r="D357" s="150"/>
      <c r="F357"/>
      <c r="H357"/>
    </row>
    <row r="358" spans="1:8" s="63" customFormat="1" ht="13.2">
      <c r="A358" s="149"/>
      <c r="B358" s="150"/>
      <c r="C358" s="150"/>
      <c r="D358" s="150"/>
      <c r="F358"/>
      <c r="H358"/>
    </row>
    <row r="359" spans="1:8" s="63" customFormat="1" ht="13.2">
      <c r="A359" s="149"/>
      <c r="B359" s="150"/>
      <c r="C359" s="150"/>
      <c r="D359" s="150"/>
      <c r="F359"/>
      <c r="H359"/>
    </row>
    <row r="360" spans="1:8" s="63" customFormat="1" ht="13.2">
      <c r="A360" s="149"/>
      <c r="B360" s="150"/>
      <c r="C360" s="150"/>
      <c r="D360" s="150"/>
      <c r="F360"/>
      <c r="H360"/>
    </row>
    <row r="361" spans="1:8" s="63" customFormat="1" ht="13.2">
      <c r="A361" s="149"/>
      <c r="B361" s="150"/>
      <c r="C361" s="150"/>
      <c r="D361" s="150"/>
      <c r="F361"/>
      <c r="H361"/>
    </row>
    <row r="362" spans="1:8" s="63" customFormat="1" ht="13.2">
      <c r="A362" s="149"/>
      <c r="B362" s="150"/>
      <c r="C362" s="150"/>
      <c r="D362" s="150"/>
      <c r="F362"/>
      <c r="H362"/>
    </row>
    <row r="363" spans="1:8" s="63" customFormat="1" ht="13.2">
      <c r="A363" s="149"/>
      <c r="B363" s="150"/>
      <c r="C363" s="150"/>
      <c r="D363" s="150"/>
      <c r="F363"/>
      <c r="H363"/>
    </row>
    <row r="364" spans="1:8" s="63" customFormat="1" ht="13.2">
      <c r="A364" s="149"/>
      <c r="B364" s="150"/>
      <c r="C364" s="150"/>
      <c r="D364" s="150"/>
      <c r="F364"/>
      <c r="H364"/>
    </row>
    <row r="365" spans="1:8" s="63" customFormat="1" ht="13.2">
      <c r="A365" s="149"/>
      <c r="B365" s="150"/>
      <c r="C365" s="150"/>
      <c r="D365" s="150"/>
      <c r="F365"/>
      <c r="H365"/>
    </row>
    <row r="366" spans="1:8" s="63" customFormat="1" ht="13.2">
      <c r="A366" s="149"/>
      <c r="B366" s="150"/>
      <c r="C366" s="150"/>
      <c r="D366" s="150"/>
      <c r="F366"/>
      <c r="H366"/>
    </row>
    <row r="367" spans="1:8" s="63" customFormat="1" ht="13.2">
      <c r="A367" s="149"/>
      <c r="B367" s="150"/>
      <c r="C367" s="150"/>
      <c r="D367" s="150"/>
      <c r="F367"/>
      <c r="H367"/>
    </row>
    <row r="368" spans="1:8" s="63" customFormat="1" ht="13.2">
      <c r="A368" s="149"/>
      <c r="B368" s="150"/>
      <c r="C368" s="150"/>
      <c r="D368" s="150"/>
      <c r="F368"/>
      <c r="H368"/>
    </row>
    <row r="369" spans="1:8" s="63" customFormat="1" ht="13.2">
      <c r="A369" s="149"/>
      <c r="B369" s="150"/>
      <c r="C369" s="150"/>
      <c r="D369" s="150"/>
      <c r="F369"/>
      <c r="H369"/>
    </row>
    <row r="370" spans="1:8" s="63" customFormat="1" ht="13.2">
      <c r="A370" s="149"/>
      <c r="B370" s="150"/>
      <c r="C370" s="150"/>
      <c r="D370" s="150"/>
      <c r="F370"/>
      <c r="H370"/>
    </row>
    <row r="371" spans="1:8" s="63" customFormat="1" ht="13.2">
      <c r="A371" s="149"/>
      <c r="B371" s="150"/>
      <c r="C371" s="150"/>
      <c r="D371" s="150"/>
      <c r="F371"/>
      <c r="H371"/>
    </row>
    <row r="372" spans="1:8" s="63" customFormat="1" ht="13.2">
      <c r="A372" s="149"/>
      <c r="B372" s="150"/>
      <c r="C372" s="150"/>
      <c r="D372" s="150"/>
      <c r="F372"/>
      <c r="H372"/>
    </row>
    <row r="373" spans="1:8" s="63" customFormat="1" ht="13.2">
      <c r="A373" s="149"/>
      <c r="B373" s="150"/>
      <c r="C373" s="150"/>
      <c r="D373" s="150"/>
      <c r="F373"/>
      <c r="H373"/>
    </row>
    <row r="374" spans="1:8" s="63" customFormat="1" ht="13.2">
      <c r="A374" s="149"/>
      <c r="B374" s="150"/>
      <c r="C374" s="150"/>
      <c r="D374" s="150"/>
      <c r="F374"/>
      <c r="H374"/>
    </row>
    <row r="375" spans="1:8" s="63" customFormat="1" ht="13.2">
      <c r="A375" s="149"/>
      <c r="B375" s="150"/>
      <c r="C375" s="150"/>
      <c r="D375" s="150"/>
      <c r="F375"/>
      <c r="H375"/>
    </row>
    <row r="376" spans="1:8" s="63" customFormat="1" ht="13.2">
      <c r="A376" s="149"/>
      <c r="B376" s="150"/>
      <c r="C376" s="150"/>
      <c r="D376" s="150"/>
      <c r="F376"/>
      <c r="H376"/>
    </row>
    <row r="377" spans="1:8" s="63" customFormat="1" ht="13.2">
      <c r="A377" s="149"/>
      <c r="B377" s="150"/>
      <c r="C377" s="150"/>
      <c r="D377" s="150"/>
      <c r="F377"/>
      <c r="H377"/>
    </row>
    <row r="378" spans="1:8" s="63" customFormat="1" ht="13.2">
      <c r="A378" s="149"/>
      <c r="B378" s="150"/>
      <c r="C378" s="150"/>
      <c r="D378" s="150"/>
      <c r="F378"/>
      <c r="H378"/>
    </row>
    <row r="379" spans="1:8" s="63" customFormat="1" ht="13.2">
      <c r="A379" s="149"/>
      <c r="B379" s="150"/>
      <c r="C379" s="150"/>
      <c r="D379" s="150"/>
      <c r="F379"/>
      <c r="H379"/>
    </row>
    <row r="380" spans="1:8" s="63" customFormat="1" ht="13.2">
      <c r="A380" s="149"/>
      <c r="B380" s="150"/>
      <c r="C380" s="150"/>
      <c r="D380" s="150"/>
      <c r="F380"/>
      <c r="H380"/>
    </row>
    <row r="381" spans="1:8" s="63" customFormat="1" ht="13.2">
      <c r="A381" s="149"/>
      <c r="B381" s="150"/>
      <c r="C381" s="150"/>
      <c r="D381" s="150"/>
      <c r="F381"/>
      <c r="H381"/>
    </row>
    <row r="382" spans="1:8" s="63" customFormat="1" ht="13.2">
      <c r="A382" s="149"/>
      <c r="B382" s="150"/>
      <c r="C382" s="150"/>
      <c r="D382" s="150"/>
      <c r="F382"/>
      <c r="H382"/>
    </row>
    <row r="383" spans="1:8" s="63" customFormat="1" ht="13.2">
      <c r="A383" s="149"/>
      <c r="B383" s="150"/>
      <c r="C383" s="150"/>
      <c r="D383" s="150"/>
      <c r="F383"/>
      <c r="H383"/>
    </row>
    <row r="384" spans="1:8" s="63" customFormat="1" ht="13.2">
      <c r="A384" s="149"/>
      <c r="B384" s="150"/>
      <c r="C384" s="150"/>
      <c r="D384" s="150"/>
      <c r="F384"/>
      <c r="H384"/>
    </row>
    <row r="385" spans="1:8" s="63" customFormat="1" ht="13.2">
      <c r="A385" s="149"/>
      <c r="B385" s="150"/>
      <c r="C385" s="150"/>
      <c r="D385" s="150"/>
      <c r="F385"/>
      <c r="H385"/>
    </row>
    <row r="386" spans="1:8" s="63" customFormat="1" ht="13.2">
      <c r="A386" s="149"/>
      <c r="B386" s="150"/>
      <c r="C386" s="150"/>
      <c r="D386" s="150"/>
      <c r="F386"/>
      <c r="H386"/>
    </row>
    <row r="387" spans="1:8" s="63" customFormat="1" ht="13.2">
      <c r="A387" s="149"/>
      <c r="B387" s="150"/>
      <c r="C387" s="150"/>
      <c r="D387" s="150"/>
      <c r="F387"/>
      <c r="H387"/>
    </row>
    <row r="388" spans="1:8" s="63" customFormat="1" ht="13.2">
      <c r="A388" s="149"/>
      <c r="B388" s="150"/>
      <c r="C388" s="150"/>
      <c r="D388" s="150"/>
      <c r="F388"/>
      <c r="H388"/>
    </row>
    <row r="389" spans="1:8" s="63" customFormat="1" ht="13.2">
      <c r="A389" s="149"/>
      <c r="B389" s="150"/>
      <c r="C389" s="150"/>
      <c r="D389" s="150"/>
      <c r="F389"/>
      <c r="H389"/>
    </row>
    <row r="390" spans="1:8" s="63" customFormat="1" ht="13.2">
      <c r="A390" s="149"/>
      <c r="B390" s="150"/>
      <c r="C390" s="150"/>
      <c r="D390" s="150"/>
      <c r="F390"/>
      <c r="H390"/>
    </row>
    <row r="391" spans="1:8" s="63" customFormat="1" ht="13.2">
      <c r="A391" s="149"/>
      <c r="B391" s="150"/>
      <c r="C391" s="150"/>
      <c r="D391" s="150"/>
      <c r="F391"/>
      <c r="H391"/>
    </row>
    <row r="392" spans="1:8" s="63" customFormat="1" ht="13.2">
      <c r="A392" s="149"/>
      <c r="B392" s="150"/>
      <c r="C392" s="150"/>
      <c r="D392" s="150"/>
      <c r="F392"/>
      <c r="H392"/>
    </row>
    <row r="393" spans="1:8" s="63" customFormat="1" ht="13.2">
      <c r="A393" s="149"/>
      <c r="B393" s="150"/>
      <c r="C393" s="150"/>
      <c r="D393" s="150"/>
      <c r="F393"/>
      <c r="H393"/>
    </row>
    <row r="394" spans="1:8" s="63" customFormat="1" ht="13.2">
      <c r="A394" s="149"/>
      <c r="B394" s="150"/>
      <c r="C394" s="150"/>
      <c r="D394" s="150"/>
      <c r="F394"/>
      <c r="H394"/>
    </row>
    <row r="395" spans="1:8" s="63" customFormat="1" ht="13.2">
      <c r="A395" s="149"/>
      <c r="B395" s="150"/>
      <c r="C395" s="150"/>
      <c r="D395" s="150"/>
      <c r="F395"/>
      <c r="H395"/>
    </row>
    <row r="396" spans="1:8" s="63" customFormat="1" ht="13.2">
      <c r="A396" s="149"/>
      <c r="B396" s="150"/>
      <c r="C396" s="150"/>
      <c r="D396" s="150"/>
      <c r="F396"/>
      <c r="H396"/>
    </row>
    <row r="397" spans="1:8" s="63" customFormat="1" ht="13.2">
      <c r="A397" s="149"/>
      <c r="B397" s="150"/>
      <c r="C397" s="150"/>
      <c r="D397" s="150"/>
      <c r="F397"/>
      <c r="H397"/>
    </row>
    <row r="398" spans="1:8" s="63" customFormat="1" ht="13.2">
      <c r="A398" s="149"/>
      <c r="B398" s="150"/>
      <c r="C398" s="150"/>
      <c r="D398" s="150"/>
      <c r="F398"/>
      <c r="H398"/>
    </row>
    <row r="399" spans="1:8" s="63" customFormat="1" ht="13.2">
      <c r="A399" s="149"/>
      <c r="B399" s="150"/>
      <c r="C399" s="150"/>
      <c r="D399" s="150"/>
      <c r="F399"/>
      <c r="H399"/>
    </row>
    <row r="400" spans="1:8" s="63" customFormat="1" ht="13.2">
      <c r="A400" s="149"/>
      <c r="B400" s="150"/>
      <c r="C400" s="150"/>
      <c r="D400" s="150"/>
      <c r="F400"/>
      <c r="H400"/>
    </row>
    <row r="401" spans="1:8" s="63" customFormat="1" ht="13.2">
      <c r="A401" s="149"/>
      <c r="B401" s="150"/>
      <c r="C401" s="150"/>
      <c r="D401" s="150"/>
      <c r="F401"/>
      <c r="H401"/>
    </row>
    <row r="402" spans="1:8" s="63" customFormat="1" ht="13.2">
      <c r="A402" s="149"/>
      <c r="B402" s="150"/>
      <c r="C402" s="150"/>
      <c r="D402" s="150"/>
      <c r="F402"/>
      <c r="H402"/>
    </row>
    <row r="403" spans="1:8" s="63" customFormat="1" ht="13.2">
      <c r="A403" s="149"/>
      <c r="B403" s="150"/>
      <c r="C403" s="150"/>
      <c r="D403" s="150"/>
      <c r="F403"/>
      <c r="H403"/>
    </row>
    <row r="404" spans="1:8" s="63" customFormat="1" ht="13.2">
      <c r="A404" s="149"/>
      <c r="B404" s="150"/>
      <c r="C404" s="150"/>
      <c r="D404" s="150"/>
      <c r="F404"/>
      <c r="H404"/>
    </row>
    <row r="405" spans="1:8" s="63" customFormat="1" ht="13.2">
      <c r="A405" s="149"/>
      <c r="B405" s="150"/>
      <c r="C405" s="150"/>
      <c r="D405" s="150"/>
      <c r="F405"/>
      <c r="H405"/>
    </row>
    <row r="406" spans="1:8" s="63" customFormat="1" ht="13.2">
      <c r="A406" s="149"/>
      <c r="B406" s="150"/>
      <c r="C406" s="150"/>
      <c r="D406" s="150"/>
      <c r="F406"/>
      <c r="H406"/>
    </row>
    <row r="407" spans="1:8" s="63" customFormat="1" ht="13.2">
      <c r="A407" s="149"/>
      <c r="B407" s="150"/>
      <c r="C407" s="150"/>
      <c r="D407" s="150"/>
      <c r="F407"/>
      <c r="H407"/>
    </row>
    <row r="408" spans="1:8" s="63" customFormat="1" ht="13.2">
      <c r="A408" s="149"/>
      <c r="B408" s="150"/>
      <c r="C408" s="150"/>
      <c r="D408" s="150"/>
      <c r="F408"/>
      <c r="H408"/>
    </row>
    <row r="409" spans="1:8" s="63" customFormat="1" ht="13.2">
      <c r="A409" s="149"/>
      <c r="B409" s="150"/>
      <c r="C409" s="150"/>
      <c r="D409" s="150"/>
      <c r="F409"/>
      <c r="H409"/>
    </row>
    <row r="410" spans="1:8" s="63" customFormat="1" ht="13.2">
      <c r="A410" s="149"/>
      <c r="B410" s="150"/>
      <c r="C410" s="150"/>
      <c r="D410" s="150"/>
      <c r="F410"/>
      <c r="H410"/>
    </row>
    <row r="411" spans="1:8" s="63" customFormat="1" ht="13.2">
      <c r="A411" s="149"/>
      <c r="B411" s="150"/>
      <c r="C411" s="150"/>
      <c r="D411" s="150"/>
      <c r="F411"/>
      <c r="H411"/>
    </row>
    <row r="412" spans="1:8" s="63" customFormat="1" ht="13.2">
      <c r="A412" s="149"/>
      <c r="B412" s="150"/>
      <c r="C412" s="150"/>
      <c r="D412" s="150"/>
      <c r="F412"/>
      <c r="H412"/>
    </row>
    <row r="413" spans="1:8" s="63" customFormat="1" ht="13.2">
      <c r="A413" s="149"/>
      <c r="B413" s="150"/>
      <c r="C413" s="150"/>
      <c r="D413" s="150"/>
      <c r="F413"/>
      <c r="H413"/>
    </row>
    <row r="414" spans="1:8" s="63" customFormat="1" ht="13.2">
      <c r="A414" s="149"/>
      <c r="B414" s="150"/>
      <c r="C414" s="150"/>
      <c r="D414" s="150"/>
      <c r="F414"/>
      <c r="H414"/>
    </row>
    <row r="415" spans="1:8" s="63" customFormat="1" ht="13.2">
      <c r="A415" s="149"/>
      <c r="B415" s="150"/>
      <c r="C415" s="150"/>
      <c r="D415" s="150"/>
      <c r="F415"/>
      <c r="H415"/>
    </row>
    <row r="416" spans="1:8" s="63" customFormat="1" ht="13.2">
      <c r="A416" s="149"/>
      <c r="B416" s="150"/>
      <c r="C416" s="150"/>
      <c r="D416" s="150"/>
      <c r="F416"/>
      <c r="H416"/>
    </row>
    <row r="417" spans="1:8" s="63" customFormat="1" ht="13.2">
      <c r="A417" s="149"/>
      <c r="B417" s="150"/>
      <c r="C417" s="150"/>
      <c r="D417" s="150"/>
      <c r="F417"/>
      <c r="H417"/>
    </row>
    <row r="418" spans="1:8" s="63" customFormat="1" ht="13.2">
      <c r="A418" s="149"/>
      <c r="B418" s="150"/>
      <c r="C418" s="150"/>
      <c r="D418" s="150"/>
      <c r="F418"/>
      <c r="H418"/>
    </row>
    <row r="419" spans="1:8" s="63" customFormat="1" ht="13.2">
      <c r="A419" s="149"/>
      <c r="B419" s="150"/>
      <c r="C419" s="150"/>
      <c r="D419" s="150"/>
      <c r="F419"/>
      <c r="H419"/>
    </row>
    <row r="420" spans="1:8" s="63" customFormat="1" ht="13.2">
      <c r="A420" s="149"/>
      <c r="B420" s="150"/>
      <c r="C420" s="150"/>
      <c r="D420" s="150"/>
      <c r="F420"/>
      <c r="H420"/>
    </row>
    <row r="421" spans="1:8" s="63" customFormat="1" ht="13.2">
      <c r="A421" s="149"/>
      <c r="B421" s="150"/>
      <c r="C421" s="150"/>
      <c r="D421" s="150"/>
      <c r="F421"/>
      <c r="H421"/>
    </row>
    <row r="422" spans="1:8" s="63" customFormat="1" ht="13.2">
      <c r="A422" s="149"/>
      <c r="B422" s="150"/>
      <c r="C422" s="150"/>
      <c r="D422" s="150"/>
      <c r="F422"/>
      <c r="H422"/>
    </row>
    <row r="423" spans="1:8" s="63" customFormat="1" ht="13.2">
      <c r="A423" s="149"/>
      <c r="B423" s="150"/>
      <c r="C423" s="150"/>
      <c r="D423" s="150"/>
      <c r="F423"/>
      <c r="H423"/>
    </row>
    <row r="424" spans="1:8" s="63" customFormat="1" ht="13.2">
      <c r="A424" s="149"/>
      <c r="B424" s="150"/>
      <c r="C424" s="150"/>
      <c r="D424" s="150"/>
      <c r="F424"/>
      <c r="H424"/>
    </row>
    <row r="425" spans="1:8" s="63" customFormat="1" ht="13.2">
      <c r="A425" s="149"/>
      <c r="B425" s="150"/>
      <c r="C425" s="150"/>
      <c r="D425" s="150"/>
      <c r="F425"/>
      <c r="H425"/>
    </row>
    <row r="426" spans="1:8" s="63" customFormat="1" ht="13.2">
      <c r="A426" s="149"/>
      <c r="B426" s="150"/>
      <c r="C426" s="150"/>
      <c r="D426" s="150"/>
      <c r="F426"/>
      <c r="H426"/>
    </row>
    <row r="427" spans="1:8" s="63" customFormat="1" ht="13.2">
      <c r="A427" s="149"/>
      <c r="B427" s="150"/>
      <c r="C427" s="150"/>
      <c r="D427" s="150"/>
      <c r="F427"/>
      <c r="H427"/>
    </row>
    <row r="428" spans="1:8" s="63" customFormat="1" ht="13.2">
      <c r="A428" s="149"/>
      <c r="B428" s="150"/>
      <c r="C428" s="150"/>
      <c r="D428" s="150"/>
      <c r="F428"/>
      <c r="H428"/>
    </row>
    <row r="429" spans="1:8" s="63" customFormat="1" ht="13.2">
      <c r="A429" s="149"/>
      <c r="B429" s="150"/>
      <c r="C429" s="150"/>
      <c r="D429" s="150"/>
      <c r="F429"/>
      <c r="H429"/>
    </row>
    <row r="430" spans="1:8" s="63" customFormat="1" ht="13.2">
      <c r="A430" s="149"/>
      <c r="B430" s="150"/>
      <c r="C430" s="150"/>
      <c r="D430" s="150"/>
      <c r="F430"/>
      <c r="H430"/>
    </row>
    <row r="431" spans="1:8" s="63" customFormat="1" ht="13.2">
      <c r="A431" s="149"/>
      <c r="B431" s="150"/>
      <c r="C431" s="150"/>
      <c r="D431" s="150"/>
      <c r="F431"/>
      <c r="H431"/>
    </row>
    <row r="432" spans="1:8" s="63" customFormat="1" ht="13.2">
      <c r="A432" s="149"/>
      <c r="B432" s="150"/>
      <c r="C432" s="150"/>
      <c r="D432" s="150"/>
      <c r="F432"/>
      <c r="H432"/>
    </row>
    <row r="433" spans="1:8" s="63" customFormat="1" ht="13.2">
      <c r="A433" s="149"/>
      <c r="B433" s="150"/>
      <c r="C433" s="150"/>
      <c r="D433" s="150"/>
      <c r="F433"/>
      <c r="H433"/>
    </row>
    <row r="434" spans="1:8" s="63" customFormat="1" ht="13.2">
      <c r="A434" s="149"/>
      <c r="B434" s="150"/>
      <c r="C434" s="150"/>
      <c r="D434" s="150"/>
      <c r="F434"/>
      <c r="H434"/>
    </row>
    <row r="435" spans="1:8" s="63" customFormat="1" ht="13.2">
      <c r="A435" s="149"/>
      <c r="B435" s="150"/>
      <c r="C435" s="150"/>
      <c r="D435" s="150"/>
      <c r="F435"/>
      <c r="H435"/>
    </row>
    <row r="436" spans="1:8" s="63" customFormat="1" ht="13.2">
      <c r="A436" s="149"/>
      <c r="B436" s="150"/>
      <c r="C436" s="150"/>
      <c r="D436" s="150"/>
      <c r="F436"/>
      <c r="H436"/>
    </row>
    <row r="437" spans="1:8" s="63" customFormat="1" ht="13.2">
      <c r="A437" s="149"/>
      <c r="B437" s="150"/>
      <c r="C437" s="150"/>
      <c r="D437" s="150"/>
      <c r="F437"/>
      <c r="H437"/>
    </row>
    <row r="438" spans="1:8" s="63" customFormat="1" ht="13.2">
      <c r="A438" s="149"/>
      <c r="B438" s="150"/>
      <c r="C438" s="150"/>
      <c r="D438" s="150"/>
      <c r="F438"/>
      <c r="H438"/>
    </row>
    <row r="439" spans="1:8" s="63" customFormat="1" ht="13.2">
      <c r="A439" s="149"/>
      <c r="B439" s="150"/>
      <c r="C439" s="150"/>
      <c r="D439" s="150"/>
      <c r="F439"/>
      <c r="H439"/>
    </row>
    <row r="440" spans="1:8" s="63" customFormat="1" ht="13.2">
      <c r="A440" s="149"/>
      <c r="B440" s="150"/>
      <c r="C440" s="150"/>
      <c r="D440" s="150"/>
      <c r="F440"/>
      <c r="H440"/>
    </row>
    <row r="441" spans="1:8" s="63" customFormat="1" ht="13.2">
      <c r="A441" s="149"/>
      <c r="B441" s="150"/>
      <c r="C441" s="150"/>
      <c r="D441" s="150"/>
      <c r="F441"/>
      <c r="H441"/>
    </row>
    <row r="442" spans="1:8" s="63" customFormat="1" ht="13.2">
      <c r="A442" s="149"/>
      <c r="B442" s="150"/>
      <c r="C442" s="150"/>
      <c r="D442" s="150"/>
      <c r="F442"/>
      <c r="H442"/>
    </row>
    <row r="443" spans="1:8" s="63" customFormat="1" ht="13.2">
      <c r="A443" s="149"/>
      <c r="B443" s="150"/>
      <c r="C443" s="150"/>
      <c r="D443" s="150"/>
      <c r="F443"/>
      <c r="H443"/>
    </row>
    <row r="444" spans="1:8" s="63" customFormat="1" ht="13.2">
      <c r="A444" s="149"/>
      <c r="B444" s="150"/>
      <c r="C444" s="150"/>
      <c r="D444" s="150"/>
      <c r="F444"/>
      <c r="H444"/>
    </row>
    <row r="445" spans="1:8" s="63" customFormat="1" ht="13.2">
      <c r="A445" s="149"/>
      <c r="B445" s="150"/>
      <c r="C445" s="150"/>
      <c r="D445" s="150"/>
      <c r="F445"/>
      <c r="H445"/>
    </row>
    <row r="446" spans="1:8" s="63" customFormat="1" ht="13.2">
      <c r="A446" s="149"/>
      <c r="B446" s="150"/>
      <c r="C446" s="150"/>
      <c r="D446" s="150"/>
      <c r="F446"/>
      <c r="H446"/>
    </row>
    <row r="447" spans="1:8" s="63" customFormat="1" ht="13.2">
      <c r="A447" s="149"/>
      <c r="B447" s="150"/>
      <c r="C447" s="150"/>
      <c r="D447" s="150"/>
      <c r="F447"/>
      <c r="H447"/>
    </row>
    <row r="448" spans="1:8" s="63" customFormat="1" ht="13.2">
      <c r="A448" s="149"/>
      <c r="B448" s="150"/>
      <c r="C448" s="150"/>
      <c r="D448" s="150"/>
      <c r="F448"/>
      <c r="H448"/>
    </row>
    <row r="449" spans="1:8" s="63" customFormat="1" ht="13.2">
      <c r="A449" s="149"/>
      <c r="B449" s="150"/>
      <c r="C449" s="150"/>
      <c r="D449" s="150"/>
      <c r="F449"/>
      <c r="H449"/>
    </row>
    <row r="450" spans="1:8" s="63" customFormat="1" ht="13.2">
      <c r="A450" s="149"/>
      <c r="B450" s="150"/>
      <c r="C450" s="150"/>
      <c r="D450" s="150"/>
      <c r="F450"/>
      <c r="H450"/>
    </row>
    <row r="451" spans="1:8" s="63" customFormat="1" ht="13.2">
      <c r="A451" s="149"/>
      <c r="B451" s="150"/>
      <c r="C451" s="150"/>
      <c r="D451" s="150"/>
      <c r="F451"/>
      <c r="H451"/>
    </row>
    <row r="452" spans="1:8" s="63" customFormat="1" ht="13.2">
      <c r="A452" s="149"/>
      <c r="B452" s="150"/>
      <c r="C452" s="150"/>
      <c r="D452" s="150"/>
      <c r="F452"/>
      <c r="H452"/>
    </row>
    <row r="453" spans="1:8" s="63" customFormat="1" ht="13.2">
      <c r="A453" s="149"/>
      <c r="B453" s="150"/>
      <c r="C453" s="150"/>
      <c r="D453" s="150"/>
      <c r="F453"/>
      <c r="H453"/>
    </row>
    <row r="454" spans="1:8" s="63" customFormat="1" ht="13.2">
      <c r="A454" s="149"/>
      <c r="B454" s="150"/>
      <c r="C454" s="150"/>
      <c r="D454" s="150"/>
      <c r="F454"/>
      <c r="H454"/>
    </row>
    <row r="455" spans="1:8" s="63" customFormat="1" ht="13.2">
      <c r="A455" s="149"/>
      <c r="B455" s="150"/>
      <c r="C455" s="150"/>
      <c r="D455" s="150"/>
      <c r="F455"/>
      <c r="H455"/>
    </row>
    <row r="456" spans="1:8" s="63" customFormat="1" ht="13.2">
      <c r="A456" s="149"/>
      <c r="B456" s="150"/>
      <c r="C456" s="150"/>
      <c r="D456" s="150"/>
      <c r="F456"/>
      <c r="H456"/>
    </row>
    <row r="457" spans="1:8" s="63" customFormat="1" ht="13.2">
      <c r="A457" s="149"/>
      <c r="B457" s="150"/>
      <c r="C457" s="150"/>
      <c r="D457" s="150"/>
      <c r="F457"/>
      <c r="H457"/>
    </row>
    <row r="458" spans="1:8" s="63" customFormat="1" ht="13.2">
      <c r="A458" s="149"/>
      <c r="B458" s="150"/>
      <c r="C458" s="150"/>
      <c r="D458" s="150"/>
      <c r="F458"/>
      <c r="H458"/>
    </row>
    <row r="459" spans="1:8" s="63" customFormat="1" ht="13.2">
      <c r="A459" s="149"/>
      <c r="B459" s="150"/>
      <c r="C459" s="150"/>
      <c r="D459" s="150"/>
      <c r="F459"/>
      <c r="H459"/>
    </row>
    <row r="460" spans="1:8" s="63" customFormat="1" ht="13.2">
      <c r="A460" s="149"/>
      <c r="B460" s="150"/>
      <c r="C460" s="150"/>
      <c r="D460" s="150"/>
      <c r="F460"/>
      <c r="H460"/>
    </row>
    <row r="461" spans="1:8" s="63" customFormat="1" ht="13.2">
      <c r="A461" s="149"/>
      <c r="B461" s="150"/>
      <c r="C461" s="150"/>
      <c r="D461" s="150"/>
      <c r="F461"/>
      <c r="H461"/>
    </row>
    <row r="462" spans="1:8" s="63" customFormat="1" ht="13.2">
      <c r="A462" s="149"/>
      <c r="B462" s="150"/>
      <c r="C462" s="150"/>
      <c r="D462" s="150"/>
      <c r="F462"/>
      <c r="H462"/>
    </row>
    <row r="463" spans="1:8" s="63" customFormat="1" ht="13.2">
      <c r="A463" s="149"/>
      <c r="B463" s="150"/>
      <c r="C463" s="150"/>
      <c r="D463" s="150"/>
      <c r="F463"/>
      <c r="H463"/>
    </row>
    <row r="464" spans="1:8" s="63" customFormat="1" ht="13.2">
      <c r="A464" s="149"/>
      <c r="B464" s="150"/>
      <c r="C464" s="150"/>
      <c r="D464" s="150"/>
      <c r="F464"/>
      <c r="H464"/>
    </row>
    <row r="465" spans="1:8" s="63" customFormat="1" ht="13.2">
      <c r="A465" s="149"/>
      <c r="B465" s="150"/>
      <c r="C465" s="150"/>
      <c r="D465" s="150"/>
      <c r="F465"/>
      <c r="H465"/>
    </row>
    <row r="466" spans="1:8" s="63" customFormat="1" ht="13.2">
      <c r="A466" s="149"/>
      <c r="B466" s="150"/>
      <c r="C466" s="150"/>
      <c r="D466" s="150"/>
      <c r="F466"/>
      <c r="H466"/>
    </row>
    <row r="467" spans="1:8" s="63" customFormat="1" ht="13.2">
      <c r="A467" s="149"/>
      <c r="B467" s="150"/>
      <c r="C467" s="150"/>
      <c r="D467" s="150"/>
      <c r="F467"/>
      <c r="H467"/>
    </row>
    <row r="468" spans="1:8" s="63" customFormat="1" ht="13.2">
      <c r="A468" s="149"/>
      <c r="B468" s="150"/>
      <c r="C468" s="150"/>
      <c r="D468" s="150"/>
      <c r="F468"/>
      <c r="H468"/>
    </row>
    <row r="469" spans="1:8" s="63" customFormat="1" ht="13.2">
      <c r="A469" s="149"/>
      <c r="B469" s="150"/>
      <c r="C469" s="150"/>
      <c r="D469" s="150"/>
      <c r="F469"/>
      <c r="H469"/>
    </row>
    <row r="470" spans="1:8" s="63" customFormat="1" ht="13.2">
      <c r="A470" s="149"/>
      <c r="B470" s="150"/>
      <c r="C470" s="150"/>
      <c r="D470" s="150"/>
      <c r="F470"/>
      <c r="H470"/>
    </row>
    <row r="471" spans="1:8" s="63" customFormat="1" ht="13.2">
      <c r="A471" s="149"/>
      <c r="B471" s="150"/>
      <c r="C471" s="150"/>
      <c r="D471" s="150"/>
      <c r="F471"/>
      <c r="H471"/>
    </row>
    <row r="472" spans="1:8" s="63" customFormat="1" ht="13.2">
      <c r="A472" s="149"/>
      <c r="B472" s="150"/>
      <c r="C472" s="150"/>
      <c r="D472" s="150"/>
      <c r="F472"/>
      <c r="H472"/>
    </row>
    <row r="473" spans="1:8" s="63" customFormat="1" ht="13.2">
      <c r="A473" s="149"/>
      <c r="B473" s="150"/>
      <c r="C473" s="150"/>
      <c r="D473" s="150"/>
      <c r="F473"/>
      <c r="H473"/>
    </row>
    <row r="474" spans="1:8" s="63" customFormat="1" ht="13.2">
      <c r="A474" s="149"/>
      <c r="B474" s="150"/>
      <c r="C474" s="150"/>
      <c r="D474" s="150"/>
      <c r="F474"/>
      <c r="H474"/>
    </row>
    <row r="475" spans="1:8" s="63" customFormat="1" ht="13.2">
      <c r="A475" s="149"/>
      <c r="B475" s="150"/>
      <c r="C475" s="150"/>
      <c r="D475" s="150"/>
      <c r="F475"/>
      <c r="H475"/>
    </row>
    <row r="476" spans="1:8" s="63" customFormat="1" ht="13.2">
      <c r="A476" s="149"/>
      <c r="B476" s="150"/>
      <c r="C476" s="150"/>
      <c r="D476" s="150"/>
      <c r="F476"/>
      <c r="H476"/>
    </row>
    <row r="477" spans="1:8" s="63" customFormat="1" ht="13.2">
      <c r="A477" s="149"/>
      <c r="B477" s="150"/>
      <c r="C477" s="150"/>
      <c r="D477" s="150"/>
      <c r="F477"/>
      <c r="H477"/>
    </row>
    <row r="478" spans="1:8" s="63" customFormat="1" ht="13.2">
      <c r="A478" s="149"/>
      <c r="B478" s="150"/>
      <c r="C478" s="150"/>
      <c r="D478" s="150"/>
      <c r="F478"/>
      <c r="H478"/>
    </row>
    <row r="479" spans="1:8" s="63" customFormat="1" ht="13.2">
      <c r="A479" s="149"/>
      <c r="B479" s="150"/>
      <c r="C479" s="150"/>
      <c r="D479" s="150"/>
      <c r="F479"/>
      <c r="H479"/>
    </row>
    <row r="480" spans="1:8" s="63" customFormat="1" ht="13.2">
      <c r="A480" s="149"/>
      <c r="B480" s="150"/>
      <c r="C480" s="150"/>
      <c r="D480" s="150"/>
      <c r="F480"/>
      <c r="H480"/>
    </row>
    <row r="481" spans="1:8" s="63" customFormat="1" ht="13.2">
      <c r="A481" s="149"/>
      <c r="B481" s="150"/>
      <c r="C481" s="150"/>
      <c r="D481" s="150"/>
      <c r="F481"/>
      <c r="H481"/>
    </row>
    <row r="482" spans="1:8" s="63" customFormat="1" ht="13.2">
      <c r="A482" s="149"/>
      <c r="B482" s="150"/>
      <c r="C482" s="150"/>
      <c r="D482" s="150"/>
      <c r="F482"/>
      <c r="H482"/>
    </row>
    <row r="483" spans="1:8" s="63" customFormat="1" ht="13.2">
      <c r="A483" s="149"/>
      <c r="B483" s="150"/>
      <c r="C483" s="150"/>
      <c r="D483" s="150"/>
      <c r="F483"/>
      <c r="H483"/>
    </row>
    <row r="484" spans="1:8" s="63" customFormat="1" ht="13.2">
      <c r="A484" s="149"/>
      <c r="B484" s="150"/>
      <c r="C484" s="150"/>
      <c r="D484" s="150"/>
      <c r="F484"/>
      <c r="H484"/>
    </row>
    <row r="485" spans="1:8" s="63" customFormat="1" ht="13.2">
      <c r="A485" s="149"/>
      <c r="B485" s="150"/>
      <c r="C485" s="150"/>
      <c r="D485" s="150"/>
      <c r="F485"/>
      <c r="H485"/>
    </row>
    <row r="486" spans="1:8" s="63" customFormat="1" ht="13.2">
      <c r="A486" s="149"/>
      <c r="B486" s="150"/>
      <c r="C486" s="150"/>
      <c r="D486" s="150"/>
      <c r="F486"/>
      <c r="H486"/>
    </row>
    <row r="487" spans="1:8" s="63" customFormat="1" ht="13.2">
      <c r="A487" s="149"/>
      <c r="B487" s="150"/>
      <c r="C487" s="150"/>
      <c r="D487" s="150"/>
      <c r="F487"/>
      <c r="H487"/>
    </row>
    <row r="488" spans="1:8" s="63" customFormat="1" ht="13.2">
      <c r="A488" s="149"/>
      <c r="B488" s="150"/>
      <c r="C488" s="150"/>
      <c r="D488" s="150"/>
      <c r="F488"/>
      <c r="H488"/>
    </row>
    <row r="489" spans="1:8" s="63" customFormat="1" ht="13.2">
      <c r="A489" s="149"/>
      <c r="B489" s="150"/>
      <c r="C489" s="150"/>
      <c r="D489" s="150"/>
      <c r="F489"/>
      <c r="H489"/>
    </row>
    <row r="490" spans="1:8" s="63" customFormat="1" ht="13.2">
      <c r="A490" s="149"/>
      <c r="B490" s="150"/>
      <c r="C490" s="150"/>
      <c r="D490" s="150"/>
      <c r="F490"/>
      <c r="H490"/>
    </row>
    <row r="491" spans="1:8" s="63" customFormat="1" ht="13.2">
      <c r="A491" s="149"/>
      <c r="B491" s="150"/>
      <c r="C491" s="150"/>
      <c r="D491" s="150"/>
      <c r="F491"/>
      <c r="H491"/>
    </row>
    <row r="492" spans="1:8" s="63" customFormat="1" ht="13.2">
      <c r="A492" s="149"/>
      <c r="B492" s="150"/>
      <c r="C492" s="150"/>
      <c r="D492" s="150"/>
      <c r="F492"/>
      <c r="H492"/>
    </row>
    <row r="493" spans="1:8" s="63" customFormat="1" ht="13.2">
      <c r="A493" s="149"/>
      <c r="B493" s="150"/>
      <c r="C493" s="150"/>
      <c r="D493" s="150"/>
      <c r="F493"/>
      <c r="H493"/>
    </row>
    <row r="494" spans="1:8" s="63" customFormat="1" ht="13.2">
      <c r="A494" s="149"/>
      <c r="B494" s="150"/>
      <c r="C494" s="150"/>
      <c r="D494" s="150"/>
      <c r="F494"/>
      <c r="H494"/>
    </row>
    <row r="495" spans="1:8" s="63" customFormat="1" ht="13.2">
      <c r="A495" s="149"/>
      <c r="B495" s="150"/>
      <c r="C495" s="150"/>
      <c r="D495" s="150"/>
      <c r="F495"/>
      <c r="H495"/>
    </row>
    <row r="496" spans="1:8" s="63" customFormat="1" ht="13.2">
      <c r="A496" s="149"/>
      <c r="B496" s="150"/>
      <c r="C496" s="150"/>
      <c r="D496" s="150"/>
      <c r="F496"/>
      <c r="H496"/>
    </row>
    <row r="497" spans="1:8" s="63" customFormat="1" ht="13.2">
      <c r="A497" s="149"/>
      <c r="B497" s="150"/>
      <c r="C497" s="150"/>
      <c r="D497" s="150"/>
      <c r="F497"/>
      <c r="H497"/>
    </row>
    <row r="498" spans="1:8" s="63" customFormat="1" ht="13.2">
      <c r="A498" s="149"/>
      <c r="B498" s="150"/>
      <c r="C498" s="150"/>
      <c r="D498" s="150"/>
      <c r="F498"/>
      <c r="H498"/>
    </row>
    <row r="499" spans="1:8" s="63" customFormat="1" ht="13.2">
      <c r="A499" s="149"/>
      <c r="B499" s="150"/>
      <c r="C499" s="150"/>
      <c r="D499" s="150"/>
      <c r="F499"/>
      <c r="H499"/>
    </row>
    <row r="500" spans="1:8" s="63" customFormat="1" ht="13.2">
      <c r="A500" s="149"/>
      <c r="B500" s="150"/>
      <c r="C500" s="150"/>
      <c r="D500" s="150"/>
      <c r="F500"/>
      <c r="H500"/>
    </row>
    <row r="501" spans="1:8" s="63" customFormat="1" ht="13.2">
      <c r="A501" s="149"/>
      <c r="B501" s="150"/>
      <c r="C501" s="150"/>
      <c r="D501" s="150"/>
      <c r="F501"/>
      <c r="H501"/>
    </row>
    <row r="502" spans="1:8" s="63" customFormat="1" ht="13.2">
      <c r="A502" s="149"/>
      <c r="B502" s="150"/>
      <c r="C502" s="150"/>
      <c r="D502" s="150"/>
      <c r="F502"/>
      <c r="H502"/>
    </row>
    <row r="503" spans="1:8" s="63" customFormat="1" ht="13.2">
      <c r="A503" s="149"/>
      <c r="B503" s="150"/>
      <c r="C503" s="150"/>
      <c r="D503" s="150"/>
      <c r="F503"/>
      <c r="H503"/>
    </row>
    <row r="504" spans="1:8" s="63" customFormat="1" ht="13.2">
      <c r="A504" s="149"/>
      <c r="B504" s="150"/>
      <c r="C504" s="150"/>
      <c r="D504" s="150"/>
      <c r="F504"/>
      <c r="H504"/>
    </row>
    <row r="505" spans="1:8" s="63" customFormat="1" ht="13.2">
      <c r="A505" s="149"/>
      <c r="B505" s="150"/>
      <c r="C505" s="150"/>
      <c r="D505" s="150"/>
      <c r="F505"/>
      <c r="H505"/>
    </row>
    <row r="506" spans="1:8" s="63" customFormat="1" ht="13.2">
      <c r="A506" s="149"/>
      <c r="B506" s="150"/>
      <c r="C506" s="150"/>
      <c r="D506" s="150"/>
      <c r="F506"/>
      <c r="H506"/>
    </row>
    <row r="507" spans="1:8" s="63" customFormat="1" ht="13.2">
      <c r="A507" s="149"/>
      <c r="B507" s="150"/>
      <c r="C507" s="150"/>
      <c r="D507" s="150"/>
      <c r="F507"/>
      <c r="H507"/>
    </row>
    <row r="508" spans="1:8" s="63" customFormat="1" ht="13.2">
      <c r="A508" s="149"/>
      <c r="B508" s="150"/>
      <c r="C508" s="150"/>
      <c r="D508" s="150"/>
      <c r="F508"/>
      <c r="H508"/>
    </row>
    <row r="509" spans="1:8" s="63" customFormat="1" ht="13.2">
      <c r="A509" s="149"/>
      <c r="B509" s="150"/>
      <c r="C509" s="150"/>
      <c r="D509" s="150"/>
      <c r="F509"/>
      <c r="H509"/>
    </row>
    <row r="510" spans="1:8" s="63" customFormat="1" ht="13.2">
      <c r="A510" s="149"/>
      <c r="B510" s="150"/>
      <c r="C510" s="150"/>
      <c r="D510" s="150"/>
      <c r="F510"/>
      <c r="H510"/>
    </row>
    <row r="511" spans="1:8" s="63" customFormat="1" ht="13.2">
      <c r="A511" s="149"/>
      <c r="B511" s="150"/>
      <c r="C511" s="150"/>
      <c r="D511" s="150"/>
      <c r="F511"/>
      <c r="H511"/>
    </row>
    <row r="512" spans="1:8" s="63" customFormat="1" ht="13.2">
      <c r="A512" s="149"/>
      <c r="B512" s="150"/>
      <c r="C512" s="150"/>
      <c r="D512" s="150"/>
      <c r="F512"/>
      <c r="H512"/>
    </row>
    <row r="513" spans="1:8" s="63" customFormat="1" ht="13.2">
      <c r="A513" s="149"/>
      <c r="B513" s="150"/>
      <c r="C513" s="150"/>
      <c r="D513" s="150"/>
      <c r="F513"/>
      <c r="H513"/>
    </row>
    <row r="514" spans="1:8" s="63" customFormat="1" ht="13.2">
      <c r="A514" s="149"/>
      <c r="B514" s="150"/>
      <c r="C514" s="150"/>
      <c r="D514" s="150"/>
      <c r="F514"/>
      <c r="H514"/>
    </row>
    <row r="515" spans="1:8" s="63" customFormat="1" ht="13.2">
      <c r="A515" s="149"/>
      <c r="B515" s="150"/>
      <c r="C515" s="150"/>
      <c r="D515" s="150"/>
      <c r="F515"/>
      <c r="H515"/>
    </row>
    <row r="516" spans="1:8" s="63" customFormat="1" ht="13.2">
      <c r="A516" s="149"/>
      <c r="B516" s="150"/>
      <c r="C516" s="150"/>
      <c r="D516" s="150"/>
      <c r="F516"/>
      <c r="H516"/>
    </row>
    <row r="517" spans="1:8" s="63" customFormat="1" ht="13.2">
      <c r="A517" s="149"/>
      <c r="B517" s="150"/>
      <c r="C517" s="150"/>
      <c r="D517" s="150"/>
      <c r="F517"/>
      <c r="H517"/>
    </row>
    <row r="518" spans="1:8" s="63" customFormat="1" ht="13.2">
      <c r="A518" s="149"/>
      <c r="B518" s="150"/>
      <c r="C518" s="150"/>
      <c r="D518" s="150"/>
      <c r="F518"/>
      <c r="H518"/>
    </row>
    <row r="519" spans="1:8" s="63" customFormat="1" ht="13.2">
      <c r="A519" s="149"/>
      <c r="B519" s="150"/>
      <c r="C519" s="150"/>
      <c r="D519" s="150"/>
      <c r="F519"/>
      <c r="H519"/>
    </row>
    <row r="520" spans="1:8" s="63" customFormat="1" ht="13.2">
      <c r="A520" s="149"/>
      <c r="B520" s="150"/>
      <c r="C520" s="150"/>
      <c r="D520" s="150"/>
      <c r="F520"/>
      <c r="H520"/>
    </row>
    <row r="521" spans="1:8" s="63" customFormat="1" ht="13.2">
      <c r="A521" s="149"/>
      <c r="B521" s="150"/>
      <c r="C521" s="150"/>
      <c r="D521" s="150"/>
      <c r="F521"/>
      <c r="H521"/>
    </row>
    <row r="522" spans="1:8" s="63" customFormat="1" ht="13.2">
      <c r="A522" s="149"/>
      <c r="B522" s="150"/>
      <c r="C522" s="150"/>
      <c r="D522" s="150"/>
      <c r="F522"/>
      <c r="H522"/>
    </row>
    <row r="523" spans="1:8" s="63" customFormat="1" ht="13.2">
      <c r="A523" s="149"/>
      <c r="B523" s="150"/>
      <c r="C523" s="150"/>
      <c r="D523" s="150"/>
      <c r="F523"/>
      <c r="H523"/>
    </row>
    <row r="524" spans="1:8" s="63" customFormat="1" ht="13.2">
      <c r="A524" s="149"/>
      <c r="B524" s="150"/>
      <c r="C524" s="150"/>
      <c r="D524" s="150"/>
      <c r="F524"/>
      <c r="H524"/>
    </row>
    <row r="525" spans="1:8" s="63" customFormat="1" ht="13.2">
      <c r="A525" s="149"/>
      <c r="B525" s="150"/>
      <c r="C525" s="150"/>
      <c r="D525" s="150"/>
      <c r="F525"/>
      <c r="H525"/>
    </row>
    <row r="526" spans="1:8" s="63" customFormat="1" ht="13.2">
      <c r="A526" s="149"/>
      <c r="B526" s="150"/>
      <c r="C526" s="150"/>
      <c r="D526" s="150"/>
      <c r="F526"/>
      <c r="H526"/>
    </row>
    <row r="527" spans="1:8" s="63" customFormat="1" ht="13.2">
      <c r="A527" s="149"/>
      <c r="B527" s="150"/>
      <c r="C527" s="150"/>
      <c r="D527" s="150"/>
      <c r="F527"/>
      <c r="H527"/>
    </row>
    <row r="528" spans="1:8" s="63" customFormat="1" ht="13.2">
      <c r="A528" s="149"/>
      <c r="B528" s="150"/>
      <c r="C528" s="150"/>
      <c r="D528" s="150"/>
      <c r="F528"/>
      <c r="H528"/>
    </row>
    <row r="529" spans="1:8" s="63" customFormat="1" ht="13.2">
      <c r="A529" s="149"/>
      <c r="B529" s="150"/>
      <c r="C529" s="150"/>
      <c r="D529" s="150"/>
      <c r="F529"/>
      <c r="H529"/>
    </row>
    <row r="530" spans="1:8" s="63" customFormat="1" ht="13.2">
      <c r="A530" s="149"/>
      <c r="B530" s="150"/>
      <c r="C530" s="150"/>
      <c r="D530" s="150"/>
      <c r="F530"/>
      <c r="H530"/>
    </row>
    <row r="531" spans="1:8" s="63" customFormat="1" ht="13.2">
      <c r="A531" s="149"/>
      <c r="B531" s="150"/>
      <c r="C531" s="150"/>
      <c r="D531" s="150"/>
      <c r="F531"/>
      <c r="H531"/>
    </row>
    <row r="532" spans="1:8" s="63" customFormat="1" ht="13.2">
      <c r="A532" s="149"/>
      <c r="B532" s="150"/>
      <c r="C532" s="150"/>
      <c r="D532" s="150"/>
      <c r="F532"/>
      <c r="H532"/>
    </row>
    <row r="533" spans="1:8" s="63" customFormat="1" ht="13.2">
      <c r="A533" s="149"/>
      <c r="B533" s="150"/>
      <c r="C533" s="150"/>
      <c r="D533" s="150"/>
      <c r="F533"/>
      <c r="H533"/>
    </row>
    <row r="534" spans="1:8" s="63" customFormat="1" ht="13.2">
      <c r="A534" s="149"/>
      <c r="B534" s="150"/>
      <c r="C534" s="150"/>
      <c r="D534" s="150"/>
      <c r="F534"/>
      <c r="H534"/>
    </row>
    <row r="535" spans="1:8" s="63" customFormat="1" ht="13.2">
      <c r="A535" s="149"/>
      <c r="B535" s="150"/>
      <c r="C535" s="150"/>
      <c r="D535" s="150"/>
      <c r="F535"/>
      <c r="H535"/>
    </row>
    <row r="536" spans="1:8" s="63" customFormat="1" ht="13.2">
      <c r="A536" s="149"/>
      <c r="B536" s="150"/>
      <c r="C536" s="150"/>
      <c r="D536" s="150"/>
      <c r="F536"/>
      <c r="H536"/>
    </row>
    <row r="537" spans="1:8" s="63" customFormat="1" ht="13.2">
      <c r="A537" s="149"/>
      <c r="B537" s="150"/>
      <c r="C537" s="150"/>
      <c r="D537" s="150"/>
      <c r="F537"/>
      <c r="H537"/>
    </row>
    <row r="538" spans="1:8" s="63" customFormat="1" ht="13.2">
      <c r="A538" s="149"/>
      <c r="B538" s="150"/>
      <c r="C538" s="150"/>
      <c r="D538" s="150"/>
      <c r="F538"/>
      <c r="H538"/>
    </row>
    <row r="539" spans="1:8" s="63" customFormat="1" ht="13.2">
      <c r="A539" s="149"/>
      <c r="B539" s="150"/>
      <c r="C539" s="150"/>
      <c r="D539" s="150"/>
      <c r="F539"/>
      <c r="H539"/>
    </row>
    <row r="540" spans="1:8" s="63" customFormat="1" ht="13.2">
      <c r="A540" s="149"/>
      <c r="B540" s="150"/>
      <c r="C540" s="150"/>
      <c r="D540" s="150"/>
      <c r="F540"/>
      <c r="H540"/>
    </row>
    <row r="541" spans="1:8" s="63" customFormat="1" ht="13.2">
      <c r="A541" s="149"/>
      <c r="B541" s="150"/>
      <c r="C541" s="150"/>
      <c r="D541" s="150"/>
      <c r="F541"/>
      <c r="H541"/>
    </row>
    <row r="542" spans="1:8" s="63" customFormat="1" ht="13.2">
      <c r="A542" s="149"/>
      <c r="B542" s="150"/>
      <c r="C542" s="150"/>
      <c r="D542" s="150"/>
      <c r="F542"/>
      <c r="H542"/>
    </row>
    <row r="543" spans="1:8" s="63" customFormat="1" ht="13.2">
      <c r="A543" s="149"/>
      <c r="B543" s="150"/>
      <c r="C543" s="150"/>
      <c r="D543" s="150"/>
      <c r="F543"/>
      <c r="H543"/>
    </row>
    <row r="544" spans="1:8" s="63" customFormat="1" ht="13.2">
      <c r="A544" s="149"/>
      <c r="B544" s="150"/>
      <c r="C544" s="150"/>
      <c r="D544" s="150"/>
      <c r="F544"/>
      <c r="H544"/>
    </row>
    <row r="545" spans="1:8" s="63" customFormat="1" ht="13.2">
      <c r="A545" s="149"/>
      <c r="B545" s="150"/>
      <c r="C545" s="150"/>
      <c r="D545" s="150"/>
      <c r="F545"/>
      <c r="H545"/>
    </row>
    <row r="546" spans="1:8" s="63" customFormat="1" ht="13.2">
      <c r="A546" s="149"/>
      <c r="B546" s="150"/>
      <c r="C546" s="150"/>
      <c r="D546" s="150"/>
      <c r="F546"/>
      <c r="H546"/>
    </row>
    <row r="547" spans="1:8" s="63" customFormat="1" ht="13.2">
      <c r="A547" s="149"/>
      <c r="B547" s="150"/>
      <c r="C547" s="150"/>
      <c r="D547" s="150"/>
      <c r="F547"/>
      <c r="H547"/>
    </row>
    <row r="548" spans="1:8" s="63" customFormat="1" ht="13.2">
      <c r="A548" s="149"/>
      <c r="B548" s="150"/>
      <c r="C548" s="150"/>
      <c r="D548" s="150"/>
      <c r="F548"/>
      <c r="H548"/>
    </row>
    <row r="549" spans="1:8" s="63" customFormat="1" ht="13.2">
      <c r="A549" s="149"/>
      <c r="B549" s="150"/>
      <c r="C549" s="150"/>
      <c r="D549" s="150"/>
      <c r="F549"/>
      <c r="H549"/>
    </row>
    <row r="550" spans="1:8" s="63" customFormat="1" ht="13.2">
      <c r="A550" s="149"/>
      <c r="B550" s="150"/>
      <c r="C550" s="150"/>
      <c r="D550" s="150"/>
      <c r="F550"/>
      <c r="H550"/>
    </row>
    <row r="551" spans="1:8" s="63" customFormat="1" ht="13.2">
      <c r="A551" s="149"/>
      <c r="B551" s="150"/>
      <c r="C551" s="150"/>
      <c r="D551" s="150"/>
      <c r="F551"/>
      <c r="H551"/>
    </row>
    <row r="552" spans="1:8" s="63" customFormat="1" ht="13.2">
      <c r="A552" s="149"/>
      <c r="B552" s="150"/>
      <c r="C552" s="150"/>
      <c r="D552" s="150"/>
      <c r="F552"/>
      <c r="H552"/>
    </row>
    <row r="553" spans="1:8" s="63" customFormat="1" ht="13.2">
      <c r="A553" s="149"/>
      <c r="B553" s="150"/>
      <c r="C553" s="150"/>
      <c r="D553" s="150"/>
      <c r="F553"/>
      <c r="H553"/>
    </row>
    <row r="554" spans="1:8" s="63" customFormat="1" ht="13.2">
      <c r="A554" s="149"/>
      <c r="B554" s="150"/>
      <c r="C554" s="150"/>
      <c r="D554" s="150"/>
      <c r="F554"/>
      <c r="H554"/>
    </row>
    <row r="555" spans="1:8" s="63" customFormat="1" ht="13.2">
      <c r="A555" s="149"/>
      <c r="B555" s="150"/>
      <c r="C555" s="150"/>
      <c r="D555" s="150"/>
      <c r="F555"/>
      <c r="H555"/>
    </row>
    <row r="556" spans="1:8" s="63" customFormat="1" ht="13.2">
      <c r="A556" s="149"/>
      <c r="B556" s="150"/>
      <c r="C556" s="150"/>
      <c r="D556" s="150"/>
      <c r="F556"/>
      <c r="H556"/>
    </row>
    <row r="557" spans="1:8" s="63" customFormat="1" ht="13.2">
      <c r="A557" s="149"/>
      <c r="B557" s="150"/>
      <c r="C557" s="150"/>
      <c r="D557" s="150"/>
      <c r="F557"/>
      <c r="H557"/>
    </row>
    <row r="558" spans="1:8" s="63" customFormat="1" ht="13.2">
      <c r="A558" s="149"/>
      <c r="B558" s="150"/>
      <c r="C558" s="150"/>
      <c r="D558" s="150"/>
      <c r="F558"/>
      <c r="H558"/>
    </row>
    <row r="559" spans="1:8" s="63" customFormat="1" ht="13.2">
      <c r="A559" s="149"/>
      <c r="B559" s="150"/>
      <c r="C559" s="150"/>
      <c r="D559" s="150"/>
      <c r="F559"/>
      <c r="H559"/>
    </row>
    <row r="560" spans="1:8" s="63" customFormat="1" ht="13.2">
      <c r="A560" s="149"/>
      <c r="B560" s="150"/>
      <c r="C560" s="150"/>
      <c r="D560" s="150"/>
      <c r="F560"/>
      <c r="H560"/>
    </row>
    <row r="561" spans="1:8" s="63" customFormat="1" ht="13.2">
      <c r="A561" s="149"/>
      <c r="B561" s="150"/>
      <c r="C561" s="150"/>
      <c r="D561" s="150"/>
      <c r="F561"/>
      <c r="H561"/>
    </row>
    <row r="562" spans="1:8" s="63" customFormat="1" ht="13.2">
      <c r="A562" s="149"/>
      <c r="B562" s="150"/>
      <c r="C562" s="150"/>
      <c r="D562" s="150"/>
      <c r="F562"/>
      <c r="H562"/>
    </row>
    <row r="563" spans="1:8" s="63" customFormat="1" ht="13.2">
      <c r="A563" s="149"/>
      <c r="B563" s="150"/>
      <c r="C563" s="150"/>
      <c r="D563" s="150"/>
      <c r="F563"/>
      <c r="H563"/>
    </row>
    <row r="564" spans="1:8" s="63" customFormat="1" ht="13.2">
      <c r="A564" s="149"/>
      <c r="B564" s="150"/>
      <c r="C564" s="150"/>
      <c r="D564" s="150"/>
      <c r="F564"/>
      <c r="H564"/>
    </row>
    <row r="565" spans="1:8" s="63" customFormat="1" ht="13.2">
      <c r="A565" s="149"/>
      <c r="B565" s="150"/>
      <c r="C565" s="150"/>
      <c r="D565" s="150"/>
      <c r="F565"/>
      <c r="H565"/>
    </row>
    <row r="566" spans="1:8" s="63" customFormat="1" ht="13.2">
      <c r="A566" s="149"/>
      <c r="B566" s="150"/>
      <c r="C566" s="150"/>
      <c r="D566" s="150"/>
      <c r="F566"/>
      <c r="H566"/>
    </row>
    <row r="567" spans="1:8" s="63" customFormat="1" ht="13.2">
      <c r="A567" s="149"/>
      <c r="B567" s="150"/>
      <c r="C567" s="150"/>
      <c r="D567" s="150"/>
      <c r="F567"/>
      <c r="H567"/>
    </row>
    <row r="568" spans="1:8" s="63" customFormat="1" ht="13.2">
      <c r="A568" s="149"/>
      <c r="B568" s="150"/>
      <c r="C568" s="150"/>
      <c r="D568" s="150"/>
      <c r="F568"/>
      <c r="H568"/>
    </row>
    <row r="569" spans="1:8" s="63" customFormat="1" ht="13.2">
      <c r="A569" s="149"/>
      <c r="B569" s="150"/>
      <c r="C569" s="150"/>
      <c r="D569" s="150"/>
      <c r="F569"/>
      <c r="H569"/>
    </row>
    <row r="570" spans="1:8" s="63" customFormat="1" ht="13.2">
      <c r="A570" s="149"/>
      <c r="B570" s="150"/>
      <c r="C570" s="150"/>
      <c r="D570" s="150"/>
      <c r="F570"/>
      <c r="H570"/>
    </row>
    <row r="571" spans="1:8" s="63" customFormat="1" ht="13.2">
      <c r="A571" s="149"/>
      <c r="B571" s="150"/>
      <c r="C571" s="150"/>
      <c r="D571" s="150"/>
      <c r="F571"/>
      <c r="H571"/>
    </row>
    <row r="572" spans="1:8" s="63" customFormat="1" ht="13.2">
      <c r="A572" s="149"/>
      <c r="B572" s="150"/>
      <c r="C572" s="150"/>
      <c r="D572" s="150"/>
      <c r="F572"/>
      <c r="H572"/>
    </row>
    <row r="573" spans="1:8" s="63" customFormat="1" ht="13.2">
      <c r="A573" s="149"/>
      <c r="B573" s="150"/>
      <c r="C573" s="150"/>
      <c r="D573" s="150"/>
      <c r="F573"/>
      <c r="H573"/>
    </row>
    <row r="574" spans="1:8" s="63" customFormat="1" ht="13.2">
      <c r="A574" s="149"/>
      <c r="B574" s="150"/>
      <c r="C574" s="150"/>
      <c r="D574" s="150"/>
      <c r="F574"/>
      <c r="H574"/>
    </row>
    <row r="575" spans="1:8" s="63" customFormat="1" ht="13.2">
      <c r="A575" s="149"/>
      <c r="B575" s="150"/>
      <c r="C575" s="150"/>
      <c r="D575" s="150"/>
      <c r="F575"/>
      <c r="H575"/>
    </row>
    <row r="576" spans="1:8" s="63" customFormat="1" ht="13.2">
      <c r="A576" s="149"/>
      <c r="B576" s="150"/>
      <c r="C576" s="150"/>
      <c r="D576" s="150"/>
      <c r="F576"/>
      <c r="H576"/>
    </row>
    <row r="577" spans="1:8" s="63" customFormat="1" ht="13.2">
      <c r="A577" s="149"/>
      <c r="B577" s="150"/>
      <c r="C577" s="150"/>
      <c r="D577" s="150"/>
      <c r="F577"/>
      <c r="H577"/>
    </row>
    <row r="578" spans="1:8" s="63" customFormat="1" ht="13.2">
      <c r="A578" s="149"/>
      <c r="B578" s="150"/>
      <c r="C578" s="150"/>
      <c r="D578" s="150"/>
      <c r="F578"/>
      <c r="H578"/>
    </row>
    <row r="579" spans="1:8" s="63" customFormat="1" ht="13.2">
      <c r="A579" s="149"/>
      <c r="B579" s="150"/>
      <c r="C579" s="150"/>
      <c r="D579" s="150"/>
      <c r="F579"/>
      <c r="H579"/>
    </row>
    <row r="580" spans="1:8" s="63" customFormat="1" ht="13.2">
      <c r="A580" s="149"/>
      <c r="B580" s="150"/>
      <c r="C580" s="150"/>
      <c r="D580" s="150"/>
      <c r="F580"/>
      <c r="H580"/>
    </row>
    <row r="581" spans="1:8" s="63" customFormat="1" ht="13.2">
      <c r="A581" s="149"/>
      <c r="B581" s="150"/>
      <c r="C581" s="150"/>
      <c r="D581" s="150"/>
      <c r="F581"/>
      <c r="H581"/>
    </row>
    <row r="582" spans="1:8" s="63" customFormat="1" ht="13.2">
      <c r="A582" s="149"/>
      <c r="B582" s="150"/>
      <c r="C582" s="150"/>
      <c r="D582" s="150"/>
      <c r="F582"/>
      <c r="H582"/>
    </row>
    <row r="583" spans="1:8" s="63" customFormat="1" ht="13.2">
      <c r="A583" s="149"/>
      <c r="B583" s="150"/>
      <c r="C583" s="150"/>
      <c r="D583" s="150"/>
      <c r="F583"/>
      <c r="H583"/>
    </row>
    <row r="584" spans="1:8" s="63" customFormat="1" ht="13.2">
      <c r="A584" s="149"/>
      <c r="B584" s="150"/>
      <c r="C584" s="150"/>
      <c r="D584" s="150"/>
      <c r="F584"/>
      <c r="H584"/>
    </row>
    <row r="585" spans="1:8" s="63" customFormat="1" ht="13.2">
      <c r="A585" s="149"/>
      <c r="B585" s="150"/>
      <c r="C585" s="150"/>
      <c r="D585" s="150"/>
      <c r="F585"/>
      <c r="H585"/>
    </row>
    <row r="586" spans="1:8" s="63" customFormat="1" ht="13.2">
      <c r="A586" s="149"/>
      <c r="B586" s="150"/>
      <c r="C586" s="150"/>
      <c r="D586" s="150"/>
      <c r="F586"/>
      <c r="H586"/>
    </row>
    <row r="587" spans="1:8" s="63" customFormat="1" ht="13.2">
      <c r="A587" s="149"/>
      <c r="B587" s="150"/>
      <c r="C587" s="150"/>
      <c r="D587" s="150"/>
      <c r="F587"/>
      <c r="H587"/>
    </row>
    <row r="588" spans="1:8" s="63" customFormat="1" ht="13.2">
      <c r="A588" s="149"/>
      <c r="B588" s="150"/>
      <c r="C588" s="150"/>
      <c r="D588" s="150"/>
      <c r="F588"/>
      <c r="H588"/>
    </row>
    <row r="589" spans="1:8" s="63" customFormat="1" ht="13.2">
      <c r="A589" s="149"/>
      <c r="B589" s="150"/>
      <c r="C589" s="150"/>
      <c r="D589" s="150"/>
      <c r="F589"/>
      <c r="H589"/>
    </row>
    <row r="590" spans="1:8" s="63" customFormat="1" ht="13.2">
      <c r="A590" s="149"/>
      <c r="B590" s="150"/>
      <c r="C590" s="150"/>
      <c r="D590" s="150"/>
      <c r="F590"/>
      <c r="H590"/>
    </row>
    <row r="591" spans="1:8" s="63" customFormat="1" ht="13.2">
      <c r="A591" s="149"/>
      <c r="B591" s="150"/>
      <c r="C591" s="150"/>
      <c r="D591" s="150"/>
      <c r="F591"/>
      <c r="H591"/>
    </row>
    <row r="592" spans="1:8" s="63" customFormat="1" ht="13.2">
      <c r="A592" s="149"/>
      <c r="B592" s="150"/>
      <c r="C592" s="150"/>
      <c r="D592" s="150"/>
      <c r="F592"/>
      <c r="H592"/>
    </row>
    <row r="593" spans="1:8" s="63" customFormat="1" ht="13.2">
      <c r="A593" s="149"/>
      <c r="B593" s="150"/>
      <c r="C593" s="150"/>
      <c r="D593" s="150"/>
      <c r="F593"/>
      <c r="H593"/>
    </row>
    <row r="594" spans="1:8" s="63" customFormat="1" ht="13.2">
      <c r="A594" s="149"/>
      <c r="B594" s="150"/>
      <c r="C594" s="150"/>
      <c r="D594" s="150"/>
      <c r="F594"/>
      <c r="H594"/>
    </row>
    <row r="595" spans="1:8" s="63" customFormat="1" ht="13.2">
      <c r="A595" s="149"/>
      <c r="B595" s="150"/>
      <c r="C595" s="150"/>
      <c r="D595" s="150"/>
      <c r="F595"/>
      <c r="H595"/>
    </row>
    <row r="596" spans="1:8" s="63" customFormat="1" ht="13.2">
      <c r="A596" s="149"/>
      <c r="B596" s="150"/>
      <c r="C596" s="150"/>
      <c r="D596" s="150"/>
      <c r="F596"/>
      <c r="H596"/>
    </row>
    <row r="597" spans="1:8" s="63" customFormat="1" ht="13.2">
      <c r="A597" s="149"/>
      <c r="B597" s="150"/>
      <c r="C597" s="150"/>
      <c r="D597" s="150"/>
      <c r="F597"/>
      <c r="H597"/>
    </row>
    <row r="598" spans="1:8" s="63" customFormat="1" ht="13.2">
      <c r="A598" s="149"/>
      <c r="B598" s="150"/>
      <c r="C598" s="150"/>
      <c r="D598" s="150"/>
      <c r="F598"/>
      <c r="H598"/>
    </row>
    <row r="599" spans="1:8" s="63" customFormat="1" ht="13.2">
      <c r="A599" s="149"/>
      <c r="B599" s="150"/>
      <c r="C599" s="150"/>
      <c r="D599" s="150"/>
      <c r="F599"/>
      <c r="H599"/>
    </row>
    <row r="600" spans="1:8" s="63" customFormat="1" ht="13.2">
      <c r="A600" s="149"/>
      <c r="B600" s="150"/>
      <c r="C600" s="150"/>
      <c r="D600" s="150"/>
      <c r="F600"/>
      <c r="H600"/>
    </row>
    <row r="601" spans="1:8" s="63" customFormat="1" ht="13.2">
      <c r="A601" s="149"/>
      <c r="B601" s="150"/>
      <c r="C601" s="150"/>
      <c r="D601" s="150"/>
      <c r="F601"/>
      <c r="H601"/>
    </row>
    <row r="602" spans="1:8" s="63" customFormat="1" ht="13.2">
      <c r="A602" s="149"/>
      <c r="B602" s="150"/>
      <c r="C602" s="150"/>
      <c r="D602" s="150"/>
      <c r="F602"/>
      <c r="H602"/>
    </row>
    <row r="603" spans="1:8" s="63" customFormat="1" ht="13.2">
      <c r="A603" s="149"/>
      <c r="B603" s="150"/>
      <c r="C603" s="150"/>
      <c r="D603" s="150"/>
      <c r="F603"/>
      <c r="H603"/>
    </row>
    <row r="604" spans="1:8" s="63" customFormat="1" ht="13.2">
      <c r="A604" s="149"/>
      <c r="B604" s="150"/>
      <c r="C604" s="150"/>
      <c r="D604" s="150"/>
      <c r="F604"/>
      <c r="H604"/>
    </row>
    <row r="605" spans="1:8" s="63" customFormat="1" ht="13.2">
      <c r="A605" s="149"/>
      <c r="B605" s="150"/>
      <c r="C605" s="150"/>
      <c r="D605" s="150"/>
      <c r="F605"/>
      <c r="H605"/>
    </row>
    <row r="606" spans="1:8" s="63" customFormat="1" ht="13.2">
      <c r="A606" s="149"/>
      <c r="B606" s="150"/>
      <c r="C606" s="150"/>
      <c r="D606" s="150"/>
      <c r="F606"/>
      <c r="H606"/>
    </row>
    <row r="607" spans="1:8" s="63" customFormat="1" ht="13.2">
      <c r="A607" s="149"/>
      <c r="B607" s="150"/>
      <c r="C607" s="150"/>
      <c r="D607" s="150"/>
      <c r="F607"/>
      <c r="H607"/>
    </row>
    <row r="608" spans="1:8" s="63" customFormat="1" ht="13.2">
      <c r="A608" s="149"/>
      <c r="B608" s="150"/>
      <c r="C608" s="150"/>
      <c r="D608" s="150"/>
      <c r="F608"/>
      <c r="H608"/>
    </row>
    <row r="609" spans="1:8" s="63" customFormat="1" ht="13.2">
      <c r="A609" s="149"/>
      <c r="B609" s="150"/>
      <c r="C609" s="150"/>
      <c r="D609" s="150"/>
      <c r="F609"/>
      <c r="H609"/>
    </row>
    <row r="610" spans="1:8" s="63" customFormat="1" ht="13.2">
      <c r="A610" s="149"/>
      <c r="B610" s="150"/>
      <c r="C610" s="150"/>
      <c r="D610" s="150"/>
      <c r="F610"/>
      <c r="H610"/>
    </row>
    <row r="611" spans="1:8" s="63" customFormat="1" ht="13.2">
      <c r="A611" s="149"/>
      <c r="B611" s="150"/>
      <c r="C611" s="150"/>
      <c r="D611" s="150"/>
      <c r="F611"/>
      <c r="H611"/>
    </row>
    <row r="612" spans="1:8" s="63" customFormat="1" ht="13.2">
      <c r="A612" s="149"/>
      <c r="B612" s="150"/>
      <c r="C612" s="150"/>
      <c r="D612" s="150"/>
      <c r="F612"/>
      <c r="H612"/>
    </row>
    <row r="613" spans="1:8" s="63" customFormat="1" ht="13.2">
      <c r="A613" s="149"/>
      <c r="B613" s="150"/>
      <c r="C613" s="150"/>
      <c r="D613" s="150"/>
      <c r="F613"/>
      <c r="H613"/>
    </row>
    <row r="614" spans="1:8" s="63" customFormat="1" ht="13.2">
      <c r="A614" s="149"/>
      <c r="B614" s="150"/>
      <c r="C614" s="150"/>
      <c r="D614" s="150"/>
      <c r="F614"/>
      <c r="H614"/>
    </row>
    <row r="615" spans="1:8" s="63" customFormat="1" ht="13.2">
      <c r="A615" s="149"/>
      <c r="B615" s="150"/>
      <c r="C615" s="150"/>
      <c r="D615" s="150"/>
      <c r="F615"/>
      <c r="H615"/>
    </row>
    <row r="616" spans="1:8" s="63" customFormat="1" ht="13.2">
      <c r="A616" s="149"/>
      <c r="B616" s="150"/>
      <c r="C616" s="150"/>
      <c r="D616" s="150"/>
      <c r="F616"/>
      <c r="H616"/>
    </row>
    <row r="617" spans="1:8" s="63" customFormat="1" ht="13.2">
      <c r="A617" s="149"/>
      <c r="B617" s="150"/>
      <c r="C617" s="150"/>
      <c r="D617" s="150"/>
      <c r="F617"/>
      <c r="H617"/>
    </row>
    <row r="618" spans="1:8" s="63" customFormat="1" ht="13.2">
      <c r="A618" s="149"/>
      <c r="B618" s="150"/>
      <c r="C618" s="150"/>
      <c r="D618" s="150"/>
      <c r="F618"/>
      <c r="H618"/>
    </row>
    <row r="619" spans="1:8" s="63" customFormat="1" ht="13.2">
      <c r="A619" s="149"/>
      <c r="B619" s="150"/>
      <c r="C619" s="150"/>
      <c r="D619" s="150"/>
      <c r="F619"/>
      <c r="H619"/>
    </row>
    <row r="620" spans="1:8" s="63" customFormat="1" ht="13.2">
      <c r="A620" s="149"/>
      <c r="B620" s="150"/>
      <c r="C620" s="150"/>
      <c r="D620" s="150"/>
      <c r="F620"/>
      <c r="H620"/>
    </row>
    <row r="621" spans="1:8" s="63" customFormat="1" ht="13.2">
      <c r="A621" s="149"/>
      <c r="B621" s="150"/>
      <c r="C621" s="150"/>
      <c r="D621" s="150"/>
      <c r="F621"/>
      <c r="H621"/>
    </row>
    <row r="622" spans="1:8" s="63" customFormat="1" ht="13.2">
      <c r="A622" s="149"/>
      <c r="B622" s="150"/>
      <c r="C622" s="150"/>
      <c r="D622" s="150"/>
      <c r="F622"/>
      <c r="H622"/>
    </row>
    <row r="623" spans="1:8" s="63" customFormat="1" ht="13.2">
      <c r="A623" s="149"/>
      <c r="B623" s="150"/>
      <c r="C623" s="150"/>
      <c r="D623" s="150"/>
      <c r="F623"/>
      <c r="H623"/>
    </row>
    <row r="624" spans="1:8" s="63" customFormat="1" ht="13.2">
      <c r="A624" s="149"/>
      <c r="B624" s="150"/>
      <c r="C624" s="150"/>
      <c r="D624" s="150"/>
      <c r="F624"/>
      <c r="H624"/>
    </row>
    <row r="625" spans="1:8" s="63" customFormat="1" ht="13.2">
      <c r="A625" s="149"/>
      <c r="B625" s="150"/>
      <c r="C625" s="150"/>
      <c r="D625" s="150"/>
      <c r="F625"/>
      <c r="H625"/>
    </row>
    <row r="626" spans="1:8" s="63" customFormat="1" ht="13.2">
      <c r="A626" s="149"/>
      <c r="B626" s="150"/>
      <c r="C626" s="150"/>
      <c r="D626" s="150"/>
      <c r="F626"/>
      <c r="H626"/>
    </row>
    <row r="627" spans="1:8" s="63" customFormat="1" ht="13.2">
      <c r="A627" s="149"/>
      <c r="B627" s="150"/>
      <c r="C627" s="150"/>
      <c r="D627" s="150"/>
      <c r="F627"/>
      <c r="H627"/>
    </row>
    <row r="628" spans="1:8" s="63" customFormat="1" ht="13.2">
      <c r="A628" s="149"/>
      <c r="B628" s="150"/>
      <c r="C628" s="150"/>
      <c r="D628" s="150"/>
      <c r="F628"/>
      <c r="H628"/>
    </row>
    <row r="629" spans="1:8" s="63" customFormat="1" ht="13.2">
      <c r="A629" s="149"/>
      <c r="B629" s="150"/>
      <c r="C629" s="150"/>
      <c r="D629" s="150"/>
      <c r="F629"/>
      <c r="H629"/>
    </row>
    <row r="630" spans="1:8" s="63" customFormat="1" ht="13.2">
      <c r="A630" s="149"/>
      <c r="B630" s="150"/>
      <c r="C630" s="150"/>
      <c r="D630" s="150"/>
      <c r="F630"/>
      <c r="H630"/>
    </row>
    <row r="631" spans="1:8" s="63" customFormat="1" ht="13.2">
      <c r="A631" s="149"/>
      <c r="B631" s="150"/>
      <c r="C631" s="150"/>
      <c r="D631" s="150"/>
      <c r="F631"/>
      <c r="H631"/>
    </row>
    <row r="632" spans="1:8" s="63" customFormat="1" ht="13.2">
      <c r="A632" s="149"/>
      <c r="B632" s="150"/>
      <c r="C632" s="150"/>
      <c r="D632" s="150"/>
      <c r="F632"/>
      <c r="H632"/>
    </row>
    <row r="633" spans="1:8" s="63" customFormat="1" ht="13.2">
      <c r="A633" s="149"/>
      <c r="B633" s="150"/>
      <c r="C633" s="150"/>
      <c r="D633" s="150"/>
      <c r="F633"/>
      <c r="H633"/>
    </row>
    <row r="634" spans="1:8" s="63" customFormat="1" ht="13.2">
      <c r="A634" s="149"/>
      <c r="B634" s="150"/>
      <c r="C634" s="150"/>
      <c r="D634" s="150"/>
      <c r="F634"/>
      <c r="H634"/>
    </row>
    <row r="635" spans="1:8" s="63" customFormat="1" ht="13.2">
      <c r="A635" s="149"/>
      <c r="B635" s="150"/>
      <c r="C635" s="150"/>
      <c r="D635" s="150"/>
      <c r="F635"/>
      <c r="H635"/>
    </row>
    <row r="636" spans="1:8" s="63" customFormat="1" ht="13.2">
      <c r="A636" s="149"/>
      <c r="B636" s="150"/>
      <c r="C636" s="150"/>
      <c r="D636" s="150"/>
      <c r="F636"/>
      <c r="H636"/>
    </row>
    <row r="637" spans="1:8" s="63" customFormat="1" ht="13.2">
      <c r="A637" s="149"/>
      <c r="B637" s="150"/>
      <c r="C637" s="150"/>
      <c r="D637" s="150"/>
      <c r="F637"/>
      <c r="H637"/>
    </row>
    <row r="638" spans="1:8" s="63" customFormat="1" ht="13.2">
      <c r="A638" s="149"/>
      <c r="B638" s="150"/>
      <c r="C638" s="150"/>
      <c r="D638" s="150"/>
      <c r="F638"/>
      <c r="H638"/>
    </row>
    <row r="639" spans="1:8" s="63" customFormat="1" ht="13.2">
      <c r="A639" s="149"/>
      <c r="B639" s="150"/>
      <c r="C639" s="150"/>
      <c r="D639" s="150"/>
      <c r="F639"/>
      <c r="H639"/>
    </row>
    <row r="640" spans="1:8" s="63" customFormat="1" ht="13.2">
      <c r="A640" s="149"/>
      <c r="B640" s="150"/>
      <c r="C640" s="150"/>
      <c r="D640" s="150"/>
      <c r="F640"/>
      <c r="H640"/>
    </row>
    <row r="641" spans="1:8" s="63" customFormat="1" ht="13.2">
      <c r="A641" s="149"/>
      <c r="B641" s="150"/>
      <c r="C641" s="150"/>
      <c r="D641" s="150"/>
      <c r="F641"/>
      <c r="H641"/>
    </row>
    <row r="642" spans="1:8" s="63" customFormat="1" ht="13.2">
      <c r="A642" s="149"/>
      <c r="B642" s="150"/>
      <c r="C642" s="150"/>
      <c r="D642" s="150"/>
      <c r="F642"/>
      <c r="H642"/>
    </row>
    <row r="643" spans="1:8" s="63" customFormat="1" ht="13.2">
      <c r="A643" s="149"/>
      <c r="B643" s="150"/>
      <c r="C643" s="150"/>
      <c r="D643" s="150"/>
      <c r="F643"/>
      <c r="H643"/>
    </row>
    <row r="644" spans="1:8" s="63" customFormat="1" ht="13.2">
      <c r="A644" s="149"/>
      <c r="B644" s="150"/>
      <c r="C644" s="150"/>
      <c r="D644" s="150"/>
      <c r="F644"/>
      <c r="H644"/>
    </row>
    <row r="645" spans="1:8" s="63" customFormat="1" ht="13.2">
      <c r="A645" s="149"/>
      <c r="B645" s="150"/>
      <c r="C645" s="150"/>
      <c r="D645" s="150"/>
      <c r="F645"/>
      <c r="H645"/>
    </row>
    <row r="646" spans="1:8" s="63" customFormat="1" ht="13.2">
      <c r="A646" s="149"/>
      <c r="B646" s="150"/>
      <c r="C646" s="150"/>
      <c r="D646" s="150"/>
      <c r="F646"/>
      <c r="H646"/>
    </row>
    <row r="647" spans="1:8" s="63" customFormat="1" ht="13.2">
      <c r="A647" s="149"/>
      <c r="B647" s="150"/>
      <c r="C647" s="150"/>
      <c r="D647" s="150"/>
      <c r="F647"/>
      <c r="H647"/>
    </row>
    <row r="648" spans="1:8" s="63" customFormat="1" ht="13.2">
      <c r="A648" s="149"/>
      <c r="B648" s="150"/>
      <c r="C648" s="150"/>
      <c r="D648" s="150"/>
      <c r="F648"/>
      <c r="H648"/>
    </row>
    <row r="649" spans="1:8" s="63" customFormat="1" ht="13.2">
      <c r="A649" s="149"/>
      <c r="B649" s="150"/>
      <c r="C649" s="150"/>
      <c r="D649" s="150"/>
      <c r="F649"/>
      <c r="H649"/>
    </row>
    <row r="650" spans="1:8" s="63" customFormat="1" ht="13.2">
      <c r="A650" s="149"/>
      <c r="B650" s="150"/>
      <c r="C650" s="150"/>
      <c r="D650" s="150"/>
      <c r="F650"/>
      <c r="H650"/>
    </row>
    <row r="651" spans="1:8" s="63" customFormat="1" ht="13.2">
      <c r="A651" s="149"/>
      <c r="B651" s="150"/>
      <c r="C651" s="150"/>
      <c r="D651" s="150"/>
      <c r="F651"/>
      <c r="H651"/>
    </row>
    <row r="652" spans="1:8" s="63" customFormat="1" ht="13.2">
      <c r="A652" s="149"/>
      <c r="B652" s="150"/>
      <c r="C652" s="150"/>
      <c r="D652" s="150"/>
      <c r="F652"/>
      <c r="H652"/>
    </row>
    <row r="653" spans="1:8" s="63" customFormat="1" ht="13.2">
      <c r="A653" s="149"/>
      <c r="B653" s="150"/>
      <c r="C653" s="150"/>
      <c r="D653" s="150"/>
      <c r="F653"/>
      <c r="H653"/>
    </row>
    <row r="654" spans="1:8" s="63" customFormat="1" ht="13.2">
      <c r="A654" s="149"/>
      <c r="B654" s="150"/>
      <c r="C654" s="150"/>
      <c r="D654" s="150"/>
      <c r="F654"/>
      <c r="H654"/>
    </row>
    <row r="655" spans="1:8" s="63" customFormat="1" ht="13.2">
      <c r="A655" s="149"/>
      <c r="B655" s="150"/>
      <c r="C655" s="150"/>
      <c r="D655" s="150"/>
      <c r="F655"/>
      <c r="H655"/>
    </row>
    <row r="656" spans="1:8" s="63" customFormat="1" ht="13.2">
      <c r="A656" s="149"/>
      <c r="B656" s="150"/>
      <c r="C656" s="150"/>
      <c r="D656" s="150"/>
      <c r="F656"/>
      <c r="H656"/>
    </row>
    <row r="657" spans="1:8" s="63" customFormat="1" ht="13.2">
      <c r="A657" s="149"/>
      <c r="B657" s="150"/>
      <c r="C657" s="150"/>
      <c r="D657" s="150"/>
      <c r="F657"/>
      <c r="H657"/>
    </row>
    <row r="658" spans="1:8" s="63" customFormat="1" ht="13.2">
      <c r="A658" s="149"/>
      <c r="B658" s="150"/>
      <c r="C658" s="150"/>
      <c r="D658" s="150"/>
      <c r="F658"/>
      <c r="H658"/>
    </row>
    <row r="659" spans="1:8" s="63" customFormat="1" ht="13.2">
      <c r="A659" s="149"/>
      <c r="B659" s="150"/>
      <c r="C659" s="150"/>
      <c r="D659" s="150"/>
      <c r="F659"/>
      <c r="H659"/>
    </row>
    <row r="660" spans="1:8" s="63" customFormat="1" ht="13.2">
      <c r="A660" s="149"/>
      <c r="B660" s="150"/>
      <c r="C660" s="150"/>
      <c r="D660" s="150"/>
      <c r="F660"/>
      <c r="H660"/>
    </row>
    <row r="661" spans="1:8" s="63" customFormat="1" ht="13.2">
      <c r="A661" s="149"/>
      <c r="B661" s="150"/>
      <c r="C661" s="150"/>
      <c r="D661" s="150"/>
      <c r="F661"/>
      <c r="H661"/>
    </row>
    <row r="662" spans="1:8" s="63" customFormat="1" ht="13.2">
      <c r="A662" s="149"/>
      <c r="B662" s="150"/>
      <c r="C662" s="150"/>
      <c r="D662" s="150"/>
      <c r="F662"/>
      <c r="H662"/>
    </row>
    <row r="663" spans="1:8" s="63" customFormat="1" ht="13.2">
      <c r="A663" s="149"/>
      <c r="B663" s="150"/>
      <c r="C663" s="150"/>
      <c r="D663" s="150"/>
      <c r="F663"/>
      <c r="H663"/>
    </row>
    <row r="664" spans="1:8" s="63" customFormat="1" ht="13.2">
      <c r="A664" s="149"/>
      <c r="B664" s="150"/>
      <c r="C664" s="150"/>
      <c r="D664" s="150"/>
      <c r="F664"/>
      <c r="H664"/>
    </row>
    <row r="665" spans="1:8" s="63" customFormat="1" ht="13.2">
      <c r="A665" s="149"/>
      <c r="B665" s="150"/>
      <c r="C665" s="150"/>
      <c r="D665" s="150"/>
      <c r="F665"/>
      <c r="H665"/>
    </row>
    <row r="666" spans="1:8" s="63" customFormat="1" ht="13.2">
      <c r="A666" s="149"/>
      <c r="B666" s="150"/>
      <c r="C666" s="150"/>
      <c r="D666" s="150"/>
      <c r="F666"/>
      <c r="H666"/>
    </row>
    <row r="667" spans="1:8" s="63" customFormat="1" ht="13.2">
      <c r="A667" s="149"/>
      <c r="B667" s="150"/>
      <c r="C667" s="150"/>
      <c r="D667" s="150"/>
      <c r="F667"/>
      <c r="H667"/>
    </row>
    <row r="668" spans="1:8" s="63" customFormat="1" ht="13.2">
      <c r="A668" s="149"/>
      <c r="B668" s="150"/>
      <c r="C668" s="150"/>
      <c r="D668" s="150"/>
      <c r="F668"/>
      <c r="H668"/>
    </row>
    <row r="669" spans="1:8" s="63" customFormat="1" ht="13.2">
      <c r="A669" s="149"/>
      <c r="B669" s="150"/>
      <c r="C669" s="150"/>
      <c r="D669" s="150"/>
      <c r="F669"/>
      <c r="H669"/>
    </row>
    <row r="670" spans="1:8" s="63" customFormat="1" ht="13.2">
      <c r="A670" s="149"/>
      <c r="B670" s="150"/>
      <c r="C670" s="150"/>
      <c r="D670" s="150"/>
      <c r="F670"/>
      <c r="H670"/>
    </row>
    <row r="671" spans="1:8" s="63" customFormat="1" ht="13.2">
      <c r="A671" s="149"/>
      <c r="B671" s="150"/>
      <c r="C671" s="150"/>
      <c r="D671" s="150"/>
      <c r="F671"/>
      <c r="H671"/>
    </row>
    <row r="672" spans="1:8" s="63" customFormat="1" ht="13.2">
      <c r="A672" s="149"/>
      <c r="B672" s="150"/>
      <c r="C672" s="150"/>
      <c r="D672" s="150"/>
      <c r="F672"/>
      <c r="H672"/>
    </row>
    <row r="673" spans="1:8" s="63" customFormat="1" ht="13.2">
      <c r="A673" s="149"/>
      <c r="B673" s="150"/>
      <c r="C673" s="150"/>
      <c r="D673" s="150"/>
      <c r="F673"/>
      <c r="H673"/>
    </row>
    <row r="674" spans="1:8" s="63" customFormat="1" ht="13.2">
      <c r="A674" s="149"/>
      <c r="B674" s="150"/>
      <c r="C674" s="150"/>
      <c r="D674" s="150"/>
      <c r="F674"/>
      <c r="H674"/>
    </row>
    <row r="675" spans="1:8" s="63" customFormat="1" ht="13.2">
      <c r="A675" s="149"/>
      <c r="B675" s="150"/>
      <c r="C675" s="150"/>
      <c r="D675" s="150"/>
      <c r="F675"/>
      <c r="H675"/>
    </row>
    <row r="676" spans="1:8" s="63" customFormat="1" ht="13.2">
      <c r="A676" s="149"/>
      <c r="B676" s="150"/>
      <c r="C676" s="150"/>
      <c r="D676" s="150"/>
      <c r="F676"/>
      <c r="H676"/>
    </row>
    <row r="677" spans="1:8" s="63" customFormat="1" ht="13.2">
      <c r="A677" s="149"/>
      <c r="B677" s="150"/>
      <c r="C677" s="150"/>
      <c r="D677" s="150"/>
      <c r="F677"/>
      <c r="H677"/>
    </row>
    <row r="678" spans="1:8" s="63" customFormat="1" ht="13.2">
      <c r="A678" s="149"/>
      <c r="B678" s="150"/>
      <c r="C678" s="150"/>
      <c r="D678" s="150"/>
      <c r="F678"/>
      <c r="H678"/>
    </row>
    <row r="679" spans="1:8" s="63" customFormat="1" ht="13.2">
      <c r="A679" s="149"/>
      <c r="B679" s="150"/>
      <c r="C679" s="150"/>
      <c r="D679" s="150"/>
      <c r="F679"/>
      <c r="H679"/>
    </row>
    <row r="680" spans="1:8" s="63" customFormat="1" ht="13.2">
      <c r="A680" s="149"/>
      <c r="B680" s="150"/>
      <c r="C680" s="150"/>
      <c r="D680" s="150"/>
      <c r="F680"/>
      <c r="H680"/>
    </row>
    <row r="681" spans="1:8" s="63" customFormat="1" ht="13.2">
      <c r="A681" s="149"/>
      <c r="B681" s="150"/>
      <c r="C681" s="150"/>
      <c r="D681" s="150"/>
      <c r="F681"/>
      <c r="H681"/>
    </row>
    <row r="682" spans="1:8" s="63" customFormat="1" ht="13.2">
      <c r="A682" s="149"/>
      <c r="B682" s="150"/>
      <c r="C682" s="150"/>
      <c r="D682" s="150"/>
      <c r="F682"/>
      <c r="H682"/>
    </row>
    <row r="683" spans="1:8" s="63" customFormat="1" ht="13.2">
      <c r="A683" s="149"/>
      <c r="B683" s="150"/>
      <c r="C683" s="150"/>
      <c r="D683" s="150"/>
      <c r="F683"/>
      <c r="H683"/>
    </row>
    <row r="684" spans="1:8" s="63" customFormat="1" ht="13.2">
      <c r="A684" s="149"/>
      <c r="B684" s="150"/>
      <c r="C684" s="150"/>
      <c r="D684" s="150"/>
      <c r="F684"/>
      <c r="H684"/>
    </row>
    <row r="685" spans="1:8" s="63" customFormat="1" ht="13.2">
      <c r="A685" s="149"/>
      <c r="B685" s="150"/>
      <c r="C685" s="150"/>
      <c r="D685" s="150"/>
      <c r="F685"/>
      <c r="H685"/>
    </row>
    <row r="686" spans="1:8" s="63" customFormat="1" ht="13.2">
      <c r="A686" s="149"/>
      <c r="B686" s="150"/>
      <c r="C686" s="150"/>
      <c r="D686" s="150"/>
      <c r="F686"/>
      <c r="H686"/>
    </row>
    <row r="687" spans="1:8" s="63" customFormat="1" ht="13.2">
      <c r="A687" s="149"/>
      <c r="B687" s="150"/>
      <c r="C687" s="150"/>
      <c r="D687" s="150"/>
      <c r="F687"/>
      <c r="H687"/>
    </row>
    <row r="688" spans="1:8" s="63" customFormat="1" ht="13.2">
      <c r="A688" s="149"/>
      <c r="B688" s="150"/>
      <c r="C688" s="150"/>
      <c r="D688" s="150"/>
      <c r="F688"/>
      <c r="H688"/>
    </row>
    <row r="689" spans="1:8" s="63" customFormat="1" ht="13.2">
      <c r="A689" s="149"/>
      <c r="B689" s="150"/>
      <c r="C689" s="150"/>
      <c r="D689" s="150"/>
      <c r="F689"/>
      <c r="H689"/>
    </row>
    <row r="690" spans="1:8" s="63" customFormat="1" ht="13.2">
      <c r="A690" s="149"/>
      <c r="B690" s="150"/>
      <c r="C690" s="150"/>
      <c r="D690" s="150"/>
      <c r="F690"/>
      <c r="H690"/>
    </row>
    <row r="691" spans="1:8" s="63" customFormat="1" ht="13.2">
      <c r="A691" s="149"/>
      <c r="B691" s="150"/>
      <c r="C691" s="150"/>
      <c r="D691" s="150"/>
      <c r="F691"/>
      <c r="H691"/>
    </row>
    <row r="692" spans="1:8" s="63" customFormat="1" ht="13.2">
      <c r="A692" s="149"/>
      <c r="B692" s="150"/>
      <c r="C692" s="150"/>
      <c r="D692" s="150"/>
      <c r="F692"/>
      <c r="H692"/>
    </row>
    <row r="693" spans="1:8" s="63" customFormat="1" ht="13.2">
      <c r="A693" s="149"/>
      <c r="B693" s="150"/>
      <c r="C693" s="150"/>
      <c r="D693" s="150"/>
      <c r="F693"/>
      <c r="H693"/>
    </row>
    <row r="694" spans="1:8" s="63" customFormat="1" ht="13.2">
      <c r="A694" s="149"/>
      <c r="B694" s="150"/>
      <c r="C694" s="150"/>
      <c r="D694" s="150"/>
      <c r="F694"/>
      <c r="H694"/>
    </row>
    <row r="695" spans="1:8" s="63" customFormat="1" ht="13.2">
      <c r="A695" s="149"/>
      <c r="B695" s="150"/>
      <c r="C695" s="150"/>
      <c r="D695" s="150"/>
      <c r="F695"/>
      <c r="H695"/>
    </row>
    <row r="696" spans="1:8" s="63" customFormat="1" ht="13.2">
      <c r="A696" s="149"/>
      <c r="B696" s="150"/>
      <c r="C696" s="150"/>
      <c r="D696" s="150"/>
      <c r="F696"/>
      <c r="H696"/>
    </row>
    <row r="697" spans="1:8" s="63" customFormat="1" ht="13.2">
      <c r="A697" s="149"/>
      <c r="B697" s="150"/>
      <c r="C697" s="150"/>
      <c r="D697" s="150"/>
      <c r="F697"/>
      <c r="H697"/>
    </row>
    <row r="698" spans="1:8" s="63" customFormat="1" ht="13.2">
      <c r="A698" s="149"/>
      <c r="B698" s="150"/>
      <c r="C698" s="150"/>
      <c r="D698" s="150"/>
      <c r="F698"/>
      <c r="H698"/>
    </row>
    <row r="699" spans="1:8" s="63" customFormat="1" ht="13.2">
      <c r="A699" s="149"/>
      <c r="B699" s="150"/>
      <c r="C699" s="150"/>
      <c r="D699" s="150"/>
      <c r="F699"/>
      <c r="H699"/>
    </row>
    <row r="700" spans="1:8" s="63" customFormat="1" ht="13.2">
      <c r="A700" s="149"/>
      <c r="B700" s="150"/>
      <c r="C700" s="150"/>
      <c r="D700" s="150"/>
      <c r="F700"/>
      <c r="H700"/>
    </row>
    <row r="701" spans="1:8" s="63" customFormat="1" ht="13.2">
      <c r="A701" s="149"/>
      <c r="B701" s="150"/>
      <c r="C701" s="150"/>
      <c r="D701" s="150"/>
      <c r="F701"/>
      <c r="H701"/>
    </row>
    <row r="702" spans="1:8" s="63" customFormat="1" ht="13.2">
      <c r="A702" s="149"/>
      <c r="B702" s="150"/>
      <c r="C702" s="150"/>
      <c r="D702" s="150"/>
      <c r="F702"/>
      <c r="H702"/>
    </row>
    <row r="703" spans="1:8" s="63" customFormat="1" ht="13.2">
      <c r="A703" s="149"/>
      <c r="B703" s="150"/>
      <c r="C703" s="150"/>
      <c r="D703" s="150"/>
      <c r="F703"/>
      <c r="H703"/>
    </row>
    <row r="704" spans="1:8" s="63" customFormat="1" ht="13.2">
      <c r="A704" s="149"/>
      <c r="B704" s="150"/>
      <c r="C704" s="150"/>
      <c r="D704" s="150"/>
      <c r="F704"/>
      <c r="H704"/>
    </row>
    <row r="705" spans="1:8" s="63" customFormat="1" ht="13.2">
      <c r="A705" s="149"/>
      <c r="B705" s="150"/>
      <c r="C705" s="150"/>
      <c r="D705" s="150"/>
      <c r="F705"/>
      <c r="H705"/>
    </row>
    <row r="706" spans="1:8" s="63" customFormat="1" ht="13.2">
      <c r="A706" s="149"/>
      <c r="B706" s="150"/>
      <c r="C706" s="150"/>
      <c r="D706" s="150"/>
      <c r="F706"/>
      <c r="H706"/>
    </row>
    <row r="707" spans="1:8" s="63" customFormat="1" ht="13.2">
      <c r="A707" s="149"/>
      <c r="B707" s="150"/>
      <c r="C707" s="150"/>
      <c r="D707" s="150"/>
      <c r="F707"/>
      <c r="H707"/>
    </row>
    <row r="708" spans="1:8" s="63" customFormat="1" ht="13.2">
      <c r="A708" s="149"/>
      <c r="B708" s="150"/>
      <c r="C708" s="150"/>
      <c r="D708" s="150"/>
      <c r="F708"/>
      <c r="H708"/>
    </row>
    <row r="709" spans="1:8" s="63" customFormat="1" ht="13.2">
      <c r="A709" s="149"/>
      <c r="B709" s="150"/>
      <c r="C709" s="150"/>
      <c r="D709" s="150"/>
      <c r="F709"/>
      <c r="H709"/>
    </row>
    <row r="710" spans="1:8" s="63" customFormat="1" ht="13.2">
      <c r="A710" s="149"/>
      <c r="B710" s="150"/>
      <c r="C710" s="150"/>
      <c r="D710" s="150"/>
      <c r="F710"/>
      <c r="H710"/>
    </row>
    <row r="711" spans="1:8" s="63" customFormat="1" ht="13.2">
      <c r="A711" s="149"/>
      <c r="B711" s="150"/>
      <c r="C711" s="150"/>
      <c r="D711" s="150"/>
      <c r="F711"/>
      <c r="H711"/>
    </row>
    <row r="712" spans="1:8" s="63" customFormat="1" ht="13.2">
      <c r="A712" s="149"/>
      <c r="B712" s="150"/>
      <c r="C712" s="150"/>
      <c r="D712" s="150"/>
      <c r="F712"/>
      <c r="H712"/>
    </row>
    <row r="713" spans="1:8" s="63" customFormat="1" ht="13.2">
      <c r="A713" s="149"/>
      <c r="B713" s="150"/>
      <c r="C713" s="150"/>
      <c r="D713" s="150"/>
      <c r="F713"/>
      <c r="H713"/>
    </row>
    <row r="714" spans="1:8" s="63" customFormat="1" ht="13.2">
      <c r="A714" s="149"/>
      <c r="B714" s="150"/>
      <c r="C714" s="150"/>
      <c r="D714" s="150"/>
      <c r="F714"/>
      <c r="H714"/>
    </row>
    <row r="715" spans="1:8" s="63" customFormat="1" ht="13.2">
      <c r="A715" s="149"/>
      <c r="B715" s="150"/>
      <c r="C715" s="150"/>
      <c r="D715" s="150"/>
      <c r="F715"/>
      <c r="H715"/>
    </row>
    <row r="716" spans="1:8" s="63" customFormat="1" ht="13.2">
      <c r="A716" s="149"/>
      <c r="B716" s="150"/>
      <c r="C716" s="150"/>
      <c r="D716" s="150"/>
      <c r="F716"/>
      <c r="H716"/>
    </row>
    <row r="717" spans="1:8" s="63" customFormat="1" ht="13.2">
      <c r="A717" s="149"/>
      <c r="B717" s="150"/>
      <c r="C717" s="150"/>
      <c r="D717" s="150"/>
      <c r="F717"/>
      <c r="H717"/>
    </row>
    <row r="718" spans="1:8" s="63" customFormat="1" ht="13.2">
      <c r="A718" s="149"/>
      <c r="B718" s="150"/>
      <c r="C718" s="150"/>
      <c r="D718" s="150"/>
      <c r="F718"/>
      <c r="H718"/>
    </row>
    <row r="719" spans="1:8" s="63" customFormat="1" ht="13.2">
      <c r="A719" s="149"/>
      <c r="B719" s="150"/>
      <c r="C719" s="150"/>
      <c r="D719" s="150"/>
      <c r="F719"/>
      <c r="H719"/>
    </row>
    <row r="720" spans="1:8" s="63" customFormat="1" ht="13.2">
      <c r="A720" s="149"/>
      <c r="B720" s="150"/>
      <c r="C720" s="150"/>
      <c r="D720" s="150"/>
      <c r="F720"/>
      <c r="H720"/>
    </row>
    <row r="721" spans="1:8" s="63" customFormat="1" ht="13.2">
      <c r="A721" s="149"/>
      <c r="B721" s="150"/>
      <c r="C721" s="150"/>
      <c r="D721" s="150"/>
      <c r="F721"/>
      <c r="H721"/>
    </row>
    <row r="722" spans="1:8" s="63" customFormat="1" ht="13.2">
      <c r="A722" s="149"/>
      <c r="B722" s="150"/>
      <c r="C722" s="150"/>
      <c r="D722" s="150"/>
      <c r="F722"/>
      <c r="H722"/>
    </row>
    <row r="723" spans="1:8" s="63" customFormat="1" ht="13.2">
      <c r="A723" s="149"/>
      <c r="B723" s="150"/>
      <c r="C723" s="150"/>
      <c r="D723" s="150"/>
      <c r="F723"/>
      <c r="H723"/>
    </row>
    <row r="724" spans="1:8" s="63" customFormat="1" ht="13.2">
      <c r="A724" s="149"/>
      <c r="B724" s="150"/>
      <c r="C724" s="150"/>
      <c r="D724" s="150"/>
      <c r="F724"/>
      <c r="H724"/>
    </row>
    <row r="725" spans="1:8" s="63" customFormat="1" ht="13.2">
      <c r="A725" s="149"/>
      <c r="B725" s="150"/>
      <c r="C725" s="150"/>
      <c r="D725" s="150"/>
      <c r="F725"/>
      <c r="H725"/>
    </row>
    <row r="726" spans="1:8" s="63" customFormat="1" ht="13.2">
      <c r="A726" s="149"/>
      <c r="B726" s="150"/>
      <c r="C726" s="150"/>
      <c r="D726" s="150"/>
      <c r="F726"/>
      <c r="H726"/>
    </row>
    <row r="727" spans="1:8" s="63" customFormat="1" ht="13.2">
      <c r="A727" s="149"/>
      <c r="B727" s="150"/>
      <c r="C727" s="150"/>
      <c r="D727" s="150"/>
      <c r="F727"/>
      <c r="H727"/>
    </row>
    <row r="728" spans="1:8" s="63" customFormat="1" ht="13.2">
      <c r="A728" s="149"/>
      <c r="B728" s="150"/>
      <c r="C728" s="150"/>
      <c r="D728" s="150"/>
      <c r="F728"/>
      <c r="H728"/>
    </row>
    <row r="729" spans="1:8" s="63" customFormat="1" ht="13.2">
      <c r="A729" s="149"/>
      <c r="B729" s="150"/>
      <c r="C729" s="150"/>
      <c r="D729" s="150"/>
      <c r="F729"/>
      <c r="H729"/>
    </row>
    <row r="730" spans="1:8" s="63" customFormat="1" ht="13.2">
      <c r="A730" s="149"/>
      <c r="B730" s="150"/>
      <c r="C730" s="150"/>
      <c r="D730" s="150"/>
      <c r="F730"/>
      <c r="H730"/>
    </row>
    <row r="731" spans="1:8" s="63" customFormat="1" ht="13.2">
      <c r="A731" s="149"/>
      <c r="B731" s="150"/>
      <c r="C731" s="150"/>
      <c r="D731" s="150"/>
      <c r="F731"/>
      <c r="H731"/>
    </row>
    <row r="732" spans="1:8" s="63" customFormat="1" ht="13.2">
      <c r="A732" s="149"/>
      <c r="B732" s="150"/>
      <c r="C732" s="150"/>
      <c r="D732" s="150"/>
      <c r="F732"/>
      <c r="H732"/>
    </row>
    <row r="733" spans="1:8" s="63" customFormat="1" ht="13.2">
      <c r="A733" s="149"/>
      <c r="B733" s="150"/>
      <c r="C733" s="150"/>
      <c r="D733" s="150"/>
      <c r="F733"/>
      <c r="H733"/>
    </row>
    <row r="734" spans="1:8" s="63" customFormat="1" ht="13.2">
      <c r="A734" s="149"/>
      <c r="B734" s="150"/>
      <c r="C734" s="150"/>
      <c r="D734" s="150"/>
      <c r="F734"/>
      <c r="H734"/>
    </row>
    <row r="735" spans="1:8" s="63" customFormat="1" ht="13.2">
      <c r="A735" s="149"/>
      <c r="B735" s="150"/>
      <c r="C735" s="150"/>
      <c r="D735" s="150"/>
      <c r="F735"/>
      <c r="H735"/>
    </row>
    <row r="736" spans="1:8" s="63" customFormat="1" ht="13.2">
      <c r="A736" s="149"/>
      <c r="B736" s="150"/>
      <c r="C736" s="150"/>
      <c r="D736" s="150"/>
      <c r="F736"/>
      <c r="H736"/>
    </row>
    <row r="737" spans="1:8" s="63" customFormat="1" ht="13.2">
      <c r="A737" s="149"/>
      <c r="B737" s="150"/>
      <c r="C737" s="150"/>
      <c r="D737" s="150"/>
      <c r="F737"/>
      <c r="H737"/>
    </row>
    <row r="738" spans="1:8" s="63" customFormat="1" ht="13.2">
      <c r="A738" s="149"/>
      <c r="B738" s="150"/>
      <c r="C738" s="150"/>
      <c r="D738" s="150"/>
      <c r="F738"/>
      <c r="H738"/>
    </row>
    <row r="739" spans="1:8" s="63" customFormat="1" ht="13.2">
      <c r="A739" s="149"/>
      <c r="B739" s="150"/>
      <c r="C739" s="150"/>
      <c r="D739" s="150"/>
      <c r="F739"/>
      <c r="H739"/>
    </row>
    <row r="740" spans="1:8" s="63" customFormat="1" ht="13.2">
      <c r="A740" s="149"/>
      <c r="B740" s="150"/>
      <c r="C740" s="150"/>
      <c r="D740" s="150"/>
      <c r="F740"/>
      <c r="H740"/>
    </row>
    <row r="741" spans="1:8" s="63" customFormat="1" ht="13.2">
      <c r="A741" s="149"/>
      <c r="B741" s="150"/>
      <c r="C741" s="150"/>
      <c r="D741" s="150"/>
      <c r="F741"/>
      <c r="H741"/>
    </row>
    <row r="742" spans="1:8" s="63" customFormat="1" ht="13.2">
      <c r="A742" s="149"/>
      <c r="B742" s="150"/>
      <c r="C742" s="150"/>
      <c r="D742" s="150"/>
      <c r="F742"/>
      <c r="H742"/>
    </row>
    <row r="743" spans="1:8" s="63" customFormat="1" ht="13.2">
      <c r="A743" s="149"/>
      <c r="B743" s="150"/>
      <c r="C743" s="150"/>
      <c r="D743" s="150"/>
      <c r="F743"/>
      <c r="H743"/>
    </row>
    <row r="744" spans="1:8" s="63" customFormat="1" ht="13.2">
      <c r="A744" s="149"/>
      <c r="B744" s="150"/>
      <c r="C744" s="150"/>
      <c r="D744" s="150"/>
      <c r="F744"/>
      <c r="H744"/>
    </row>
    <row r="745" spans="1:8" s="63" customFormat="1" ht="13.2">
      <c r="A745" s="149"/>
      <c r="B745" s="150"/>
      <c r="C745" s="150"/>
      <c r="D745" s="150"/>
      <c r="F745"/>
      <c r="H745"/>
    </row>
    <row r="746" spans="1:8" s="63" customFormat="1" ht="13.2">
      <c r="A746" s="149"/>
      <c r="B746" s="150"/>
      <c r="C746" s="150"/>
      <c r="D746" s="150"/>
      <c r="F746"/>
      <c r="H746"/>
    </row>
    <row r="747" spans="1:8" s="63" customFormat="1" ht="13.2">
      <c r="A747" s="149"/>
      <c r="B747" s="150"/>
      <c r="C747" s="150"/>
      <c r="D747" s="150"/>
      <c r="F747"/>
      <c r="H747"/>
    </row>
    <row r="748" spans="1:8" s="63" customFormat="1" ht="13.2">
      <c r="A748" s="149"/>
      <c r="B748" s="150"/>
      <c r="C748" s="150"/>
      <c r="D748" s="150"/>
      <c r="F748"/>
      <c r="H748"/>
    </row>
    <row r="749" spans="1:8" s="63" customFormat="1" ht="13.2">
      <c r="A749" s="149"/>
      <c r="B749" s="150"/>
      <c r="C749" s="150"/>
      <c r="D749" s="150"/>
      <c r="F749"/>
      <c r="H749"/>
    </row>
    <row r="750" spans="1:8" s="63" customFormat="1" ht="13.2">
      <c r="A750" s="149"/>
      <c r="B750" s="150"/>
      <c r="C750" s="150"/>
      <c r="D750" s="150"/>
      <c r="F750"/>
      <c r="H750"/>
    </row>
    <row r="751" spans="1:8" s="63" customFormat="1" ht="13.2">
      <c r="A751" s="149"/>
      <c r="B751" s="150"/>
      <c r="C751" s="150"/>
      <c r="D751" s="150"/>
      <c r="F751"/>
      <c r="H751"/>
    </row>
    <row r="752" spans="1:8" s="63" customFormat="1" ht="13.2">
      <c r="A752" s="149"/>
      <c r="B752" s="150"/>
      <c r="C752" s="150"/>
      <c r="D752" s="150"/>
      <c r="F752"/>
      <c r="H752"/>
    </row>
    <row r="753" spans="1:8" s="63" customFormat="1" ht="13.2">
      <c r="A753" s="149"/>
      <c r="B753" s="150"/>
      <c r="C753" s="150"/>
      <c r="D753" s="150"/>
      <c r="F753"/>
      <c r="H753"/>
    </row>
    <row r="754" spans="1:8" s="63" customFormat="1" ht="13.2">
      <c r="A754" s="149"/>
      <c r="B754" s="150"/>
      <c r="C754" s="150"/>
      <c r="D754" s="150"/>
      <c r="F754"/>
      <c r="H754"/>
    </row>
    <row r="755" spans="1:8" s="63" customFormat="1" ht="13.2">
      <c r="A755" s="149"/>
      <c r="B755" s="150"/>
      <c r="C755" s="150"/>
      <c r="D755" s="150"/>
      <c r="F755"/>
      <c r="H755"/>
    </row>
    <row r="756" spans="1:8" s="63" customFormat="1" ht="13.2">
      <c r="A756" s="149"/>
      <c r="B756" s="150"/>
      <c r="C756" s="150"/>
      <c r="D756" s="150"/>
      <c r="F756"/>
      <c r="H756"/>
    </row>
    <row r="757" spans="1:8" s="63" customFormat="1" ht="13.2">
      <c r="A757" s="149"/>
      <c r="B757" s="150"/>
      <c r="C757" s="150"/>
      <c r="D757" s="150"/>
      <c r="F757"/>
      <c r="H757"/>
    </row>
    <row r="758" spans="1:8" s="63" customFormat="1" ht="13.2">
      <c r="A758" s="149"/>
      <c r="B758" s="150"/>
      <c r="C758" s="150"/>
      <c r="D758" s="150"/>
      <c r="F758"/>
      <c r="H758"/>
    </row>
    <row r="759" spans="1:8" s="63" customFormat="1" ht="13.2">
      <c r="A759" s="149"/>
      <c r="B759" s="150"/>
      <c r="C759" s="150"/>
      <c r="D759" s="150"/>
      <c r="F759"/>
      <c r="H759"/>
    </row>
    <row r="760" spans="1:8" s="63" customFormat="1" ht="13.2">
      <c r="A760" s="149"/>
      <c r="B760" s="150"/>
      <c r="C760" s="150"/>
      <c r="D760" s="150"/>
      <c r="F760"/>
      <c r="H760"/>
    </row>
    <row r="761" spans="1:8" s="63" customFormat="1" ht="13.2">
      <c r="A761" s="149"/>
      <c r="B761" s="150"/>
      <c r="C761" s="150"/>
      <c r="D761" s="150"/>
      <c r="F761"/>
      <c r="H761"/>
    </row>
    <row r="762" spans="1:8" s="63" customFormat="1" ht="13.2">
      <c r="A762" s="149"/>
      <c r="B762" s="150"/>
      <c r="C762" s="150"/>
      <c r="D762" s="150"/>
      <c r="F762"/>
      <c r="H762"/>
    </row>
    <row r="763" spans="1:8" s="63" customFormat="1" ht="13.2">
      <c r="A763" s="149"/>
      <c r="B763" s="150"/>
      <c r="C763" s="150"/>
      <c r="D763" s="150"/>
      <c r="F763"/>
      <c r="H763"/>
    </row>
    <row r="764" spans="1:8" s="63" customFormat="1" ht="13.2">
      <c r="A764" s="149"/>
      <c r="B764" s="150"/>
      <c r="C764" s="150"/>
      <c r="D764" s="150"/>
      <c r="F764"/>
      <c r="H764"/>
    </row>
    <row r="765" spans="1:8" s="63" customFormat="1" ht="13.2">
      <c r="A765" s="149"/>
      <c r="B765" s="150"/>
      <c r="C765" s="150"/>
      <c r="D765" s="150"/>
      <c r="F765"/>
      <c r="H765"/>
    </row>
    <row r="766" spans="1:8" s="63" customFormat="1" ht="13.2">
      <c r="A766" s="149"/>
      <c r="B766" s="150"/>
      <c r="C766" s="150"/>
      <c r="D766" s="150"/>
      <c r="F766"/>
      <c r="H766"/>
    </row>
    <row r="767" spans="1:8" s="63" customFormat="1" ht="13.2">
      <c r="A767" s="149"/>
      <c r="B767" s="150"/>
      <c r="C767" s="150"/>
      <c r="D767" s="150"/>
      <c r="F767"/>
      <c r="H767"/>
    </row>
    <row r="768" spans="1:8" s="63" customFormat="1" ht="13.2">
      <c r="A768" s="149"/>
      <c r="B768" s="150"/>
      <c r="C768" s="150"/>
      <c r="D768" s="150"/>
      <c r="F768"/>
      <c r="H768"/>
    </row>
    <row r="769" spans="1:8" s="63" customFormat="1" ht="13.2">
      <c r="A769" s="149"/>
      <c r="B769" s="150"/>
      <c r="C769" s="150"/>
      <c r="D769" s="150"/>
      <c r="F769"/>
      <c r="H769"/>
    </row>
    <row r="770" spans="1:8" s="63" customFormat="1" ht="13.2">
      <c r="A770" s="149"/>
      <c r="B770" s="150"/>
      <c r="C770" s="150"/>
      <c r="D770" s="150"/>
      <c r="F770"/>
      <c r="H770"/>
    </row>
    <row r="771" spans="1:8" s="63" customFormat="1" ht="13.2">
      <c r="A771" s="149"/>
      <c r="B771" s="150"/>
      <c r="C771" s="150"/>
      <c r="D771" s="150"/>
      <c r="F771"/>
      <c r="H771"/>
    </row>
    <row r="772" spans="1:8" s="63" customFormat="1" ht="13.2">
      <c r="A772" s="149"/>
      <c r="B772" s="150"/>
      <c r="C772" s="150"/>
      <c r="D772" s="150"/>
      <c r="F772"/>
      <c r="H772"/>
    </row>
    <row r="773" spans="1:8" s="63" customFormat="1" ht="13.2">
      <c r="A773" s="149"/>
      <c r="B773" s="150"/>
      <c r="C773" s="150"/>
      <c r="D773" s="150"/>
      <c r="F773"/>
      <c r="H773"/>
    </row>
    <row r="774" spans="1:8" s="63" customFormat="1" ht="13.2">
      <c r="A774" s="149"/>
      <c r="B774" s="150"/>
      <c r="C774" s="150"/>
      <c r="D774" s="150"/>
      <c r="F774"/>
      <c r="H774"/>
    </row>
    <row r="775" spans="1:8" s="63" customFormat="1" ht="13.2">
      <c r="A775" s="149"/>
      <c r="B775" s="150"/>
      <c r="C775" s="150"/>
      <c r="D775" s="150"/>
      <c r="F775"/>
      <c r="H775"/>
    </row>
    <row r="776" spans="1:8" s="63" customFormat="1" ht="13.2">
      <c r="A776" s="149"/>
      <c r="B776" s="150"/>
      <c r="C776" s="150"/>
      <c r="D776" s="150"/>
      <c r="F776"/>
      <c r="H776"/>
    </row>
    <row r="777" spans="1:8" s="63" customFormat="1" ht="13.2">
      <c r="A777" s="149"/>
      <c r="B777" s="150"/>
      <c r="C777" s="150"/>
      <c r="D777" s="150"/>
      <c r="F777"/>
      <c r="H777"/>
    </row>
    <row r="778" spans="1:8" s="63" customFormat="1" ht="13.2">
      <c r="A778" s="149"/>
      <c r="B778" s="150"/>
      <c r="C778" s="150"/>
      <c r="D778" s="150"/>
      <c r="F778"/>
      <c r="H778"/>
    </row>
    <row r="779" spans="1:8" s="63" customFormat="1" ht="13.2">
      <c r="A779" s="149"/>
      <c r="B779" s="150"/>
      <c r="C779" s="150"/>
      <c r="D779" s="150"/>
      <c r="F779"/>
      <c r="H779"/>
    </row>
    <row r="780" spans="1:8" s="63" customFormat="1" ht="13.2">
      <c r="A780" s="149"/>
      <c r="B780" s="150"/>
      <c r="C780" s="150"/>
      <c r="D780" s="150"/>
      <c r="F780"/>
      <c r="H780"/>
    </row>
    <row r="781" spans="1:8" s="63" customFormat="1" ht="13.2">
      <c r="A781" s="149"/>
      <c r="B781" s="150"/>
      <c r="C781" s="150"/>
      <c r="D781" s="150"/>
      <c r="F781"/>
      <c r="H781"/>
    </row>
    <row r="782" spans="1:8" s="63" customFormat="1" ht="13.2">
      <c r="A782" s="149"/>
      <c r="B782" s="150"/>
      <c r="C782" s="150"/>
      <c r="D782" s="150"/>
      <c r="F782"/>
      <c r="H782"/>
    </row>
    <row r="783" spans="1:8" s="63" customFormat="1" ht="13.2">
      <c r="A783" s="149"/>
      <c r="B783" s="150"/>
      <c r="C783" s="150"/>
      <c r="D783" s="150"/>
      <c r="F783"/>
      <c r="H783"/>
    </row>
    <row r="784" spans="1:8" s="63" customFormat="1" ht="13.2">
      <c r="A784" s="149"/>
      <c r="B784" s="150"/>
      <c r="C784" s="150"/>
      <c r="D784" s="150"/>
      <c r="F784"/>
      <c r="H784"/>
    </row>
    <row r="785" spans="1:8" s="63" customFormat="1" ht="13.2">
      <c r="A785" s="149"/>
      <c r="B785" s="150"/>
      <c r="C785" s="150"/>
      <c r="D785" s="150"/>
      <c r="F785"/>
      <c r="H785"/>
    </row>
    <row r="786" spans="1:8" s="63" customFormat="1" ht="13.2">
      <c r="A786" s="149"/>
      <c r="B786" s="150"/>
      <c r="C786" s="150"/>
      <c r="D786" s="150"/>
      <c r="F786"/>
      <c r="H786"/>
    </row>
    <row r="787" spans="1:8" s="63" customFormat="1" ht="13.2">
      <c r="A787" s="149"/>
      <c r="B787" s="150"/>
      <c r="C787" s="150"/>
      <c r="D787" s="150"/>
      <c r="F787"/>
      <c r="H787"/>
    </row>
    <row r="788" spans="1:8" s="63" customFormat="1" ht="13.2">
      <c r="A788" s="149"/>
      <c r="B788" s="150"/>
      <c r="C788" s="150"/>
      <c r="D788" s="150"/>
      <c r="F788"/>
      <c r="H788"/>
    </row>
    <row r="789" spans="1:8" s="63" customFormat="1" ht="13.2">
      <c r="A789" s="149"/>
      <c r="B789" s="150"/>
      <c r="C789" s="150"/>
      <c r="D789" s="150"/>
      <c r="F789"/>
      <c r="H789"/>
    </row>
    <row r="790" spans="1:8" s="63" customFormat="1" ht="13.2">
      <c r="A790" s="149"/>
      <c r="B790" s="150"/>
      <c r="C790" s="150"/>
      <c r="D790" s="150"/>
      <c r="F790"/>
      <c r="H790"/>
    </row>
    <row r="791" spans="1:8" s="63" customFormat="1" ht="13.2">
      <c r="A791" s="149"/>
      <c r="B791" s="150"/>
      <c r="C791" s="150"/>
      <c r="D791" s="150"/>
      <c r="F791"/>
      <c r="H791"/>
    </row>
    <row r="792" spans="1:8" s="63" customFormat="1" ht="13.2">
      <c r="A792" s="149"/>
      <c r="B792" s="150"/>
      <c r="C792" s="150"/>
      <c r="D792" s="150"/>
      <c r="F792"/>
      <c r="H792"/>
    </row>
    <row r="793" spans="1:8" s="63" customFormat="1" ht="13.2">
      <c r="A793" s="149"/>
      <c r="B793" s="150"/>
      <c r="C793" s="150"/>
      <c r="D793" s="150"/>
      <c r="F793"/>
      <c r="H793"/>
    </row>
    <row r="794" spans="1:8" s="63" customFormat="1" ht="13.2">
      <c r="A794" s="149"/>
      <c r="B794" s="150"/>
      <c r="C794" s="150"/>
      <c r="D794" s="150"/>
      <c r="F794"/>
      <c r="H794"/>
    </row>
    <row r="795" spans="1:8" s="63" customFormat="1" ht="13.2">
      <c r="A795" s="149"/>
      <c r="B795" s="150"/>
      <c r="C795" s="150"/>
      <c r="D795" s="150"/>
      <c r="F795"/>
      <c r="H795"/>
    </row>
    <row r="796" spans="1:8" s="63" customFormat="1" ht="13.2">
      <c r="A796" s="149"/>
      <c r="B796" s="150"/>
      <c r="C796" s="150"/>
      <c r="D796" s="150"/>
      <c r="F796"/>
      <c r="H796"/>
    </row>
    <row r="797" spans="1:8" s="63" customFormat="1" ht="13.2">
      <c r="A797" s="149"/>
      <c r="B797" s="150"/>
      <c r="C797" s="150"/>
      <c r="D797" s="150"/>
      <c r="F797"/>
      <c r="H797"/>
    </row>
    <row r="798" spans="1:8" s="63" customFormat="1" ht="13.2">
      <c r="A798" s="149"/>
      <c r="B798" s="150"/>
      <c r="C798" s="150"/>
      <c r="D798" s="150"/>
      <c r="F798"/>
      <c r="H798"/>
    </row>
    <row r="799" spans="1:8" s="63" customFormat="1" ht="13.2">
      <c r="A799" s="149"/>
      <c r="B799" s="150"/>
      <c r="C799" s="150"/>
      <c r="D799" s="150"/>
      <c r="F799"/>
      <c r="H799"/>
    </row>
    <row r="800" spans="1:8" s="63" customFormat="1" ht="13.2">
      <c r="A800" s="149"/>
      <c r="B800" s="150"/>
      <c r="C800" s="150"/>
      <c r="D800" s="150"/>
      <c r="F800"/>
      <c r="H800"/>
    </row>
    <row r="801" spans="1:8" s="63" customFormat="1" ht="13.2">
      <c r="A801" s="149"/>
      <c r="B801" s="150"/>
      <c r="C801" s="150"/>
      <c r="D801" s="150"/>
      <c r="F801"/>
      <c r="H801"/>
    </row>
    <row r="802" spans="1:8" s="63" customFormat="1" ht="13.2">
      <c r="A802" s="149"/>
      <c r="B802" s="150"/>
      <c r="C802" s="150"/>
      <c r="D802" s="150"/>
      <c r="F802"/>
      <c r="H802"/>
    </row>
    <row r="803" spans="1:8" s="63" customFormat="1" ht="13.2">
      <c r="A803" s="149"/>
      <c r="B803" s="150"/>
      <c r="C803" s="150"/>
      <c r="D803" s="150"/>
      <c r="F803"/>
      <c r="H803"/>
    </row>
    <row r="804" spans="1:8" s="63" customFormat="1" ht="13.2">
      <c r="A804" s="149"/>
      <c r="B804" s="150"/>
      <c r="C804" s="150"/>
      <c r="D804" s="150"/>
      <c r="F804"/>
      <c r="H804"/>
    </row>
    <row r="805" spans="1:8" s="63" customFormat="1" ht="13.2">
      <c r="A805" s="149"/>
      <c r="B805" s="150"/>
      <c r="C805" s="150"/>
      <c r="D805" s="150"/>
      <c r="F805"/>
      <c r="H805"/>
    </row>
    <row r="806" spans="1:8" s="63" customFormat="1" ht="13.2">
      <c r="A806" s="149"/>
      <c r="B806" s="150"/>
      <c r="C806" s="150"/>
      <c r="D806" s="150"/>
      <c r="F806"/>
      <c r="H806"/>
    </row>
    <row r="807" spans="1:8" s="63" customFormat="1" ht="13.2">
      <c r="A807" s="149"/>
      <c r="B807" s="150"/>
      <c r="C807" s="150"/>
      <c r="D807" s="150"/>
      <c r="F807"/>
      <c r="H807"/>
    </row>
    <row r="808" spans="1:8" s="63" customFormat="1" ht="13.2">
      <c r="A808" s="149"/>
      <c r="B808" s="150"/>
      <c r="C808" s="150"/>
      <c r="D808" s="150"/>
      <c r="F808"/>
      <c r="H808"/>
    </row>
    <row r="809" spans="1:8" s="63" customFormat="1" ht="13.2">
      <c r="A809" s="149"/>
      <c r="B809" s="150"/>
      <c r="C809" s="150"/>
      <c r="D809" s="150"/>
      <c r="F809"/>
      <c r="H809"/>
    </row>
    <row r="810" spans="1:8" s="63" customFormat="1" ht="13.2">
      <c r="A810" s="149"/>
      <c r="B810" s="150"/>
      <c r="C810" s="150"/>
      <c r="D810" s="150"/>
      <c r="F810"/>
      <c r="H810"/>
    </row>
    <row r="811" spans="1:8" s="63" customFormat="1" ht="13.2">
      <c r="A811" s="149"/>
      <c r="B811" s="150"/>
      <c r="C811" s="150"/>
      <c r="D811" s="150"/>
      <c r="F811"/>
      <c r="H811"/>
    </row>
    <row r="812" spans="1:8" s="63" customFormat="1" ht="13.2">
      <c r="A812" s="149"/>
      <c r="B812" s="150"/>
      <c r="C812" s="150"/>
      <c r="D812" s="150"/>
      <c r="F812"/>
      <c r="H812"/>
    </row>
    <row r="813" spans="1:8" s="63" customFormat="1" ht="13.2">
      <c r="A813" s="149"/>
      <c r="B813" s="150"/>
      <c r="C813" s="150"/>
      <c r="D813" s="150"/>
      <c r="F813"/>
      <c r="H813"/>
    </row>
    <row r="814" spans="1:8" s="63" customFormat="1" ht="13.2">
      <c r="A814" s="149"/>
      <c r="B814" s="150"/>
      <c r="C814" s="150"/>
      <c r="D814" s="150"/>
      <c r="F814"/>
      <c r="H814"/>
    </row>
    <row r="815" spans="1:8" s="63" customFormat="1" ht="13.2">
      <c r="A815" s="149"/>
      <c r="B815" s="150"/>
      <c r="C815" s="150"/>
      <c r="D815" s="150"/>
      <c r="F815"/>
      <c r="H815"/>
    </row>
    <row r="816" spans="1:8" s="63" customFormat="1" ht="13.2">
      <c r="A816" s="149"/>
      <c r="B816" s="150"/>
      <c r="C816" s="150"/>
      <c r="D816" s="150"/>
      <c r="F816"/>
      <c r="H816"/>
    </row>
    <row r="817" spans="1:8" s="63" customFormat="1" ht="13.2">
      <c r="A817" s="149"/>
      <c r="B817" s="150"/>
      <c r="C817" s="150"/>
      <c r="D817" s="150"/>
      <c r="F817"/>
      <c r="H817"/>
    </row>
    <row r="818" spans="1:8" s="63" customFormat="1" ht="13.2">
      <c r="A818" s="149"/>
      <c r="B818" s="150"/>
      <c r="C818" s="150"/>
      <c r="D818" s="150"/>
      <c r="F818"/>
      <c r="H818"/>
    </row>
    <row r="819" spans="1:8" s="63" customFormat="1" ht="13.2">
      <c r="A819" s="149"/>
      <c r="B819" s="150"/>
      <c r="C819" s="150"/>
      <c r="D819" s="150"/>
      <c r="F819"/>
      <c r="H819"/>
    </row>
    <row r="820" spans="1:8" s="63" customFormat="1" ht="13.2">
      <c r="A820" s="149"/>
      <c r="B820" s="150"/>
      <c r="C820" s="150"/>
      <c r="D820" s="150"/>
      <c r="F820"/>
      <c r="H820"/>
    </row>
    <row r="821" spans="1:8" s="63" customFormat="1" ht="13.2">
      <c r="A821" s="149"/>
      <c r="B821" s="150"/>
      <c r="C821" s="150"/>
      <c r="D821" s="150"/>
      <c r="F821"/>
      <c r="H821"/>
    </row>
    <row r="822" spans="1:8" s="63" customFormat="1" ht="13.2">
      <c r="A822" s="149"/>
      <c r="B822" s="150"/>
      <c r="C822" s="150"/>
      <c r="D822" s="150"/>
      <c r="F822"/>
      <c r="H822"/>
    </row>
    <row r="823" spans="1:8" s="63" customFormat="1" ht="13.2">
      <c r="A823" s="149"/>
      <c r="B823" s="150"/>
      <c r="C823" s="150"/>
      <c r="D823" s="150"/>
      <c r="F823"/>
      <c r="H823"/>
    </row>
    <row r="824" spans="1:8" s="63" customFormat="1" ht="13.2">
      <c r="A824" s="149"/>
      <c r="B824" s="150"/>
      <c r="C824" s="150"/>
      <c r="D824" s="150"/>
      <c r="F824"/>
      <c r="H824"/>
    </row>
    <row r="825" spans="1:8" s="63" customFormat="1" ht="13.2">
      <c r="A825" s="149"/>
      <c r="B825" s="150"/>
      <c r="C825" s="150"/>
      <c r="D825" s="150"/>
      <c r="F825"/>
      <c r="H825"/>
    </row>
    <row r="826" spans="1:8" s="63" customFormat="1" ht="13.2">
      <c r="A826" s="149"/>
      <c r="B826" s="150"/>
      <c r="C826" s="150"/>
      <c r="D826" s="150"/>
      <c r="F826"/>
      <c r="H826"/>
    </row>
    <row r="827" spans="1:8" s="63" customFormat="1" ht="13.2">
      <c r="A827" s="149"/>
      <c r="B827" s="150"/>
      <c r="C827" s="150"/>
      <c r="D827" s="150"/>
      <c r="F827"/>
      <c r="H827"/>
    </row>
    <row r="828" spans="1:8" s="63" customFormat="1" ht="13.2">
      <c r="A828" s="149"/>
      <c r="B828" s="150"/>
      <c r="C828" s="150"/>
      <c r="D828" s="150"/>
      <c r="F828"/>
      <c r="H828"/>
    </row>
    <row r="829" spans="1:8" s="63" customFormat="1" ht="13.2">
      <c r="A829" s="149"/>
      <c r="B829" s="150"/>
      <c r="C829" s="150"/>
      <c r="D829" s="150"/>
      <c r="F829"/>
      <c r="H829"/>
    </row>
    <row r="830" spans="1:8" s="63" customFormat="1" ht="13.2">
      <c r="A830" s="149"/>
      <c r="B830" s="150"/>
      <c r="C830" s="150"/>
      <c r="D830" s="150"/>
      <c r="F830"/>
      <c r="H830"/>
    </row>
    <row r="831" spans="1:8" s="63" customFormat="1" ht="13.2">
      <c r="A831" s="149"/>
      <c r="B831" s="150"/>
      <c r="C831" s="150"/>
      <c r="D831" s="150"/>
      <c r="F831"/>
      <c r="H831"/>
    </row>
    <row r="832" spans="1:8" s="63" customFormat="1" ht="13.2">
      <c r="A832" s="149"/>
      <c r="B832" s="150"/>
      <c r="C832" s="150"/>
      <c r="D832" s="150"/>
      <c r="F832"/>
      <c r="H832"/>
    </row>
    <row r="833" spans="1:8" s="63" customFormat="1" ht="13.2">
      <c r="A833" s="149"/>
      <c r="B833" s="150"/>
      <c r="C833" s="150"/>
      <c r="D833" s="150"/>
      <c r="F833"/>
      <c r="H833"/>
    </row>
    <row r="834" spans="1:8" s="63" customFormat="1" ht="13.2">
      <c r="A834" s="149"/>
      <c r="B834" s="150"/>
      <c r="C834" s="150"/>
      <c r="D834" s="150"/>
      <c r="F834"/>
      <c r="H834"/>
    </row>
    <row r="835" spans="1:8" s="63" customFormat="1" ht="13.2">
      <c r="A835" s="149"/>
      <c r="B835" s="150"/>
      <c r="C835" s="150"/>
      <c r="D835" s="150"/>
      <c r="F835"/>
      <c r="H835"/>
    </row>
    <row r="836" spans="1:8" s="63" customFormat="1" ht="13.2">
      <c r="A836" s="149"/>
      <c r="B836" s="150"/>
      <c r="C836" s="150"/>
      <c r="D836" s="150"/>
      <c r="F836"/>
      <c r="H836"/>
    </row>
    <row r="837" spans="1:8" s="63" customFormat="1" ht="13.2">
      <c r="A837" s="149"/>
      <c r="B837" s="150"/>
      <c r="C837" s="150"/>
      <c r="D837" s="150"/>
      <c r="F837"/>
      <c r="H837"/>
    </row>
    <row r="838" spans="1:8" s="63" customFormat="1" ht="13.2">
      <c r="A838" s="149"/>
      <c r="B838" s="150"/>
      <c r="C838" s="150"/>
      <c r="D838" s="150"/>
      <c r="F838"/>
      <c r="H838"/>
    </row>
    <row r="839" spans="1:8" s="63" customFormat="1" ht="13.2">
      <c r="A839" s="149"/>
      <c r="B839" s="150"/>
      <c r="C839" s="150"/>
      <c r="D839" s="150"/>
      <c r="F839"/>
      <c r="H839"/>
    </row>
    <row r="840" spans="1:8" s="63" customFormat="1" ht="13.2">
      <c r="A840" s="149"/>
      <c r="B840" s="150"/>
      <c r="C840" s="150"/>
      <c r="D840" s="150"/>
      <c r="F840"/>
      <c r="H840"/>
    </row>
    <row r="841" spans="1:8" s="63" customFormat="1" ht="13.2">
      <c r="A841" s="149"/>
      <c r="B841" s="150"/>
      <c r="C841" s="150"/>
      <c r="D841" s="150"/>
      <c r="F841"/>
      <c r="H841"/>
    </row>
    <row r="842" spans="1:8" s="63" customFormat="1" ht="13.2">
      <c r="A842" s="149"/>
      <c r="B842" s="150"/>
      <c r="C842" s="150"/>
      <c r="D842" s="150"/>
      <c r="F842"/>
      <c r="H842"/>
    </row>
    <row r="843" spans="1:8" s="63" customFormat="1" ht="13.2">
      <c r="A843" s="149"/>
      <c r="B843" s="150"/>
      <c r="C843" s="150"/>
      <c r="D843" s="150"/>
      <c r="F843"/>
      <c r="H843"/>
    </row>
    <row r="844" spans="1:8" s="63" customFormat="1" ht="13.2">
      <c r="A844" s="149"/>
      <c r="B844" s="150"/>
      <c r="C844" s="150"/>
      <c r="D844" s="150"/>
      <c r="F844"/>
      <c r="H844"/>
    </row>
    <row r="845" spans="1:8" s="63" customFormat="1" ht="13.2">
      <c r="A845" s="149"/>
      <c r="B845" s="150"/>
      <c r="C845" s="150"/>
      <c r="D845" s="150"/>
      <c r="F845"/>
      <c r="H845"/>
    </row>
    <row r="846" spans="1:8" s="63" customFormat="1" ht="13.2">
      <c r="A846" s="149"/>
      <c r="B846" s="150"/>
      <c r="C846" s="150"/>
      <c r="D846" s="150"/>
      <c r="F846"/>
      <c r="H846"/>
    </row>
    <row r="847" spans="1:8" s="63" customFormat="1" ht="13.2">
      <c r="A847" s="149"/>
      <c r="B847" s="150"/>
      <c r="C847" s="150"/>
      <c r="D847" s="150"/>
      <c r="F847"/>
      <c r="H847"/>
    </row>
    <row r="848" spans="1:8" s="63" customFormat="1" ht="13.2">
      <c r="A848" s="149"/>
      <c r="B848" s="150"/>
      <c r="C848" s="150"/>
      <c r="D848" s="150"/>
      <c r="F848"/>
      <c r="H848"/>
    </row>
    <row r="849" spans="1:8" s="63" customFormat="1" ht="13.2">
      <c r="A849" s="149"/>
      <c r="B849" s="150"/>
      <c r="C849" s="150"/>
      <c r="D849" s="150"/>
      <c r="F849"/>
      <c r="H849"/>
    </row>
    <row r="850" spans="1:8" s="63" customFormat="1" ht="13.2">
      <c r="A850" s="149"/>
      <c r="B850" s="150"/>
      <c r="C850" s="150"/>
      <c r="D850" s="150"/>
      <c r="F850"/>
      <c r="H850"/>
    </row>
    <row r="851" spans="1:8" s="63" customFormat="1" ht="13.2">
      <c r="A851" s="149"/>
      <c r="B851" s="150"/>
      <c r="C851" s="150"/>
      <c r="D851" s="150"/>
      <c r="F851"/>
      <c r="H851"/>
    </row>
    <row r="852" spans="1:8" s="63" customFormat="1" ht="13.2">
      <c r="A852" s="149"/>
      <c r="B852" s="150"/>
      <c r="C852" s="150"/>
      <c r="D852" s="150"/>
      <c r="F852"/>
      <c r="H852"/>
    </row>
    <row r="853" spans="1:8" s="63" customFormat="1" ht="13.2">
      <c r="A853" s="149"/>
      <c r="B853" s="150"/>
      <c r="C853" s="150"/>
      <c r="D853" s="150"/>
      <c r="F853"/>
      <c r="H853"/>
    </row>
    <row r="854" spans="1:8" s="63" customFormat="1" ht="13.2">
      <c r="A854" s="149"/>
      <c r="B854" s="150"/>
      <c r="C854" s="150"/>
      <c r="D854" s="150"/>
      <c r="F854"/>
      <c r="H854"/>
    </row>
    <row r="855" spans="1:8" s="63" customFormat="1" ht="13.2">
      <c r="A855" s="149"/>
      <c r="B855" s="150"/>
      <c r="C855" s="150"/>
      <c r="D855" s="150"/>
      <c r="F855"/>
      <c r="H855"/>
    </row>
    <row r="856" spans="1:8" s="63" customFormat="1" ht="13.2">
      <c r="A856" s="149"/>
      <c r="B856" s="150"/>
      <c r="C856" s="150"/>
      <c r="D856" s="150"/>
      <c r="F856"/>
      <c r="H856"/>
    </row>
    <row r="857" spans="1:8" s="63" customFormat="1" ht="13.2">
      <c r="A857" s="149"/>
      <c r="B857" s="150"/>
      <c r="C857" s="150"/>
      <c r="D857" s="150"/>
      <c r="F857"/>
      <c r="H857"/>
    </row>
    <row r="858" spans="1:8" s="63" customFormat="1" ht="13.2">
      <c r="A858" s="149"/>
      <c r="B858" s="150"/>
      <c r="C858" s="150"/>
      <c r="D858" s="150"/>
      <c r="F858"/>
      <c r="H858"/>
    </row>
    <row r="859" spans="1:8" s="63" customFormat="1" ht="13.2">
      <c r="A859" s="149"/>
      <c r="B859" s="150"/>
      <c r="C859" s="150"/>
      <c r="D859" s="150"/>
      <c r="F859"/>
      <c r="H859"/>
    </row>
    <row r="860" spans="1:8" s="63" customFormat="1" ht="13.2">
      <c r="A860" s="149"/>
      <c r="B860" s="150"/>
      <c r="C860" s="150"/>
      <c r="D860" s="150"/>
      <c r="F860"/>
      <c r="H860"/>
    </row>
    <row r="861" spans="1:8" s="63" customFormat="1" ht="13.2">
      <c r="A861" s="149"/>
      <c r="B861" s="150"/>
      <c r="C861" s="150"/>
      <c r="D861" s="150"/>
      <c r="F861"/>
      <c r="H861"/>
    </row>
    <row r="862" spans="1:8" s="63" customFormat="1" ht="13.2">
      <c r="A862" s="149"/>
      <c r="B862" s="150"/>
      <c r="C862" s="150"/>
      <c r="D862" s="150"/>
      <c r="F862"/>
      <c r="H862"/>
    </row>
    <row r="863" spans="1:8" s="63" customFormat="1" ht="13.2">
      <c r="A863" s="149"/>
      <c r="B863" s="150"/>
      <c r="C863" s="150"/>
      <c r="D863" s="150"/>
      <c r="F863"/>
      <c r="H863"/>
    </row>
    <row r="864" spans="1:8" s="63" customFormat="1" ht="13.2">
      <c r="A864" s="149"/>
      <c r="B864" s="150"/>
      <c r="C864" s="150"/>
      <c r="D864" s="150"/>
      <c r="F864"/>
      <c r="H864"/>
    </row>
    <row r="865" spans="1:8" s="63" customFormat="1" ht="13.2">
      <c r="A865" s="149"/>
      <c r="B865" s="150"/>
      <c r="C865" s="150"/>
      <c r="D865" s="150"/>
      <c r="F865"/>
      <c r="H865"/>
    </row>
    <row r="866" spans="1:8" s="63" customFormat="1" ht="13.2">
      <c r="A866" s="149"/>
      <c r="B866" s="150"/>
      <c r="C866" s="150"/>
      <c r="D866" s="150"/>
      <c r="F866"/>
      <c r="H866"/>
    </row>
    <row r="867" spans="1:8" s="63" customFormat="1" ht="13.2">
      <c r="A867" s="149"/>
      <c r="B867" s="150"/>
      <c r="C867" s="150"/>
      <c r="D867" s="150"/>
      <c r="F867"/>
      <c r="H867"/>
    </row>
    <row r="868" spans="1:8" s="63" customFormat="1" ht="13.2">
      <c r="A868" s="149"/>
      <c r="B868" s="150"/>
      <c r="C868" s="150"/>
      <c r="D868" s="150"/>
      <c r="F868"/>
      <c r="H868"/>
    </row>
    <row r="869" spans="1:8" s="63" customFormat="1" ht="13.2">
      <c r="A869" s="149"/>
      <c r="B869" s="150"/>
      <c r="C869" s="150"/>
      <c r="D869" s="150"/>
      <c r="F869"/>
      <c r="H869"/>
    </row>
    <row r="870" spans="1:8" s="63" customFormat="1" ht="13.2">
      <c r="A870" s="149"/>
      <c r="B870" s="150"/>
      <c r="C870" s="150"/>
      <c r="D870" s="150"/>
      <c r="F870"/>
      <c r="H870"/>
    </row>
    <row r="871" spans="1:8" s="63" customFormat="1" ht="13.2">
      <c r="A871" s="149"/>
      <c r="B871" s="150"/>
      <c r="C871" s="150"/>
      <c r="D871" s="150"/>
      <c r="F871"/>
      <c r="H871"/>
    </row>
    <row r="872" spans="1:8" s="63" customFormat="1" ht="13.2">
      <c r="A872" s="149"/>
      <c r="B872" s="150"/>
      <c r="C872" s="150"/>
      <c r="D872" s="150"/>
      <c r="F872"/>
      <c r="H872"/>
    </row>
    <row r="873" spans="1:8" s="63" customFormat="1" ht="13.2">
      <c r="A873" s="149"/>
      <c r="B873" s="150"/>
      <c r="C873" s="150"/>
      <c r="D873" s="150"/>
      <c r="F873"/>
      <c r="H873"/>
    </row>
    <row r="874" spans="1:8" s="63" customFormat="1" ht="13.2">
      <c r="A874" s="149"/>
      <c r="B874" s="150"/>
      <c r="C874" s="150"/>
      <c r="D874" s="150"/>
      <c r="F874"/>
      <c r="H874"/>
    </row>
    <row r="875" spans="1:8" s="63" customFormat="1" ht="13.2">
      <c r="A875" s="149"/>
      <c r="B875" s="150"/>
      <c r="C875" s="150"/>
      <c r="D875" s="150"/>
      <c r="F875"/>
      <c r="H875"/>
    </row>
    <row r="876" spans="1:8" s="63" customFormat="1" ht="13.2">
      <c r="A876" s="149"/>
      <c r="B876" s="150"/>
      <c r="C876" s="150"/>
      <c r="D876" s="150"/>
      <c r="F876"/>
      <c r="H876"/>
    </row>
    <row r="877" spans="1:8" s="63" customFormat="1" ht="13.2">
      <c r="A877" s="149"/>
      <c r="B877" s="150"/>
      <c r="C877" s="150"/>
      <c r="D877" s="150"/>
      <c r="F877"/>
      <c r="H877"/>
    </row>
    <row r="878" spans="1:8" s="63" customFormat="1" ht="13.2">
      <c r="A878" s="149"/>
      <c r="B878" s="150"/>
      <c r="C878" s="150"/>
      <c r="D878" s="150"/>
      <c r="F878"/>
      <c r="H878"/>
    </row>
    <row r="879" spans="1:8" s="63" customFormat="1" ht="13.2">
      <c r="A879" s="149"/>
      <c r="B879" s="150"/>
      <c r="C879" s="150"/>
      <c r="D879" s="150"/>
      <c r="F879"/>
      <c r="H879"/>
    </row>
    <row r="880" spans="1:8" s="63" customFormat="1" ht="13.2">
      <c r="A880" s="149"/>
      <c r="B880" s="150"/>
      <c r="C880" s="150"/>
      <c r="D880" s="150"/>
      <c r="F880"/>
      <c r="H880"/>
    </row>
    <row r="881" spans="1:8" s="63" customFormat="1" ht="13.2">
      <c r="A881" s="149"/>
      <c r="B881" s="150"/>
      <c r="C881" s="150"/>
      <c r="D881" s="150"/>
      <c r="F881"/>
      <c r="H881"/>
    </row>
    <row r="882" spans="1:8" s="63" customFormat="1" ht="13.2">
      <c r="A882" s="149"/>
      <c r="B882" s="150"/>
      <c r="C882" s="150"/>
      <c r="D882" s="150"/>
      <c r="F882"/>
      <c r="H882"/>
    </row>
    <row r="883" spans="1:8" s="63" customFormat="1" ht="13.2">
      <c r="A883" s="149"/>
      <c r="B883" s="150"/>
      <c r="C883" s="150"/>
      <c r="D883" s="150"/>
      <c r="F883"/>
      <c r="H883"/>
    </row>
    <row r="884" spans="1:8" s="63" customFormat="1" ht="13.2">
      <c r="A884" s="149"/>
      <c r="B884" s="150"/>
      <c r="C884" s="150"/>
      <c r="D884" s="150"/>
      <c r="F884"/>
      <c r="H884"/>
    </row>
    <row r="885" spans="1:8" s="63" customFormat="1" ht="13.2">
      <c r="A885" s="149"/>
      <c r="B885" s="150"/>
      <c r="C885" s="150"/>
      <c r="D885" s="150"/>
      <c r="F885"/>
      <c r="H885"/>
    </row>
    <row r="886" spans="1:8" s="63" customFormat="1" ht="13.2">
      <c r="A886" s="149"/>
      <c r="B886" s="150"/>
      <c r="C886" s="150"/>
      <c r="D886" s="150"/>
      <c r="F886"/>
      <c r="H886"/>
    </row>
    <row r="887" spans="1:8" s="63" customFormat="1" ht="13.2">
      <c r="A887" s="149"/>
      <c r="B887" s="150"/>
      <c r="C887" s="150"/>
      <c r="D887" s="150"/>
      <c r="F887"/>
      <c r="H887"/>
    </row>
    <row r="888" spans="1:8" s="63" customFormat="1" ht="13.2">
      <c r="A888" s="149"/>
      <c r="B888" s="150"/>
      <c r="C888" s="150"/>
      <c r="D888" s="150"/>
      <c r="F888"/>
      <c r="H888"/>
    </row>
    <row r="889" spans="1:8" s="63" customFormat="1" ht="13.2">
      <c r="A889" s="149"/>
      <c r="B889" s="150"/>
      <c r="C889" s="150"/>
      <c r="D889" s="150"/>
      <c r="F889"/>
      <c r="H889"/>
    </row>
    <row r="890" spans="1:8" s="63" customFormat="1" ht="13.2">
      <c r="A890" s="149"/>
      <c r="B890" s="150"/>
      <c r="C890" s="150"/>
      <c r="D890" s="150"/>
      <c r="F890"/>
      <c r="H890"/>
    </row>
    <row r="891" spans="1:8" s="63" customFormat="1" ht="13.2">
      <c r="A891" s="149"/>
      <c r="B891" s="150"/>
      <c r="C891" s="150"/>
      <c r="D891" s="150"/>
      <c r="F891"/>
      <c r="H891"/>
    </row>
    <row r="892" spans="1:8" s="63" customFormat="1" ht="13.2">
      <c r="A892" s="149"/>
      <c r="B892" s="150"/>
      <c r="C892" s="150"/>
      <c r="D892" s="150"/>
      <c r="F892"/>
      <c r="H892"/>
    </row>
    <row r="893" spans="1:8" s="63" customFormat="1" ht="13.2">
      <c r="A893" s="149"/>
      <c r="B893" s="150"/>
      <c r="C893" s="150"/>
      <c r="D893" s="150"/>
      <c r="F893"/>
      <c r="H893"/>
    </row>
    <row r="894" spans="1:8" s="63" customFormat="1" ht="13.2">
      <c r="A894" s="149"/>
      <c r="B894" s="150"/>
      <c r="C894" s="150"/>
      <c r="D894" s="150"/>
      <c r="F894"/>
      <c r="H894"/>
    </row>
    <row r="895" spans="1:8" s="63" customFormat="1" ht="13.2">
      <c r="A895" s="149"/>
      <c r="B895" s="150"/>
      <c r="C895" s="150"/>
      <c r="D895" s="150"/>
      <c r="F895"/>
      <c r="H895"/>
    </row>
    <row r="896" spans="1:8" s="63" customFormat="1" ht="13.2">
      <c r="A896" s="149"/>
      <c r="B896" s="150"/>
      <c r="C896" s="150"/>
      <c r="D896" s="150"/>
      <c r="F896"/>
      <c r="H896"/>
    </row>
    <row r="897" spans="1:8" s="63" customFormat="1" ht="13.2">
      <c r="A897" s="149"/>
      <c r="B897" s="150"/>
      <c r="C897" s="150"/>
      <c r="D897" s="150"/>
      <c r="F897"/>
      <c r="H897"/>
    </row>
    <row r="898" spans="1:8" s="63" customFormat="1" ht="13.2">
      <c r="A898" s="149"/>
      <c r="B898" s="150"/>
      <c r="C898" s="150"/>
      <c r="D898" s="150"/>
      <c r="F898"/>
      <c r="H898"/>
    </row>
    <row r="899" spans="1:8" s="63" customFormat="1" ht="13.2">
      <c r="A899" s="149"/>
      <c r="B899" s="150"/>
      <c r="C899" s="150"/>
      <c r="D899" s="150"/>
      <c r="F899"/>
      <c r="H899"/>
    </row>
    <row r="900" spans="1:8" s="63" customFormat="1" ht="13.2">
      <c r="A900" s="149"/>
      <c r="B900" s="150"/>
      <c r="C900" s="150"/>
      <c r="D900" s="150"/>
      <c r="F900"/>
      <c r="H900"/>
    </row>
    <row r="901" spans="1:8" s="63" customFormat="1" ht="13.2">
      <c r="A901" s="149"/>
      <c r="B901" s="150"/>
      <c r="C901" s="150"/>
      <c r="D901" s="150"/>
      <c r="F901"/>
      <c r="H901"/>
    </row>
    <row r="902" spans="1:8" s="63" customFormat="1" ht="13.2">
      <c r="A902" s="149"/>
      <c r="B902" s="150"/>
      <c r="C902" s="150"/>
      <c r="D902" s="150"/>
      <c r="F902"/>
      <c r="H902"/>
    </row>
    <row r="903" spans="1:8" s="63" customFormat="1" ht="13.2">
      <c r="A903" s="149"/>
      <c r="B903" s="150"/>
      <c r="C903" s="150"/>
      <c r="D903" s="150"/>
      <c r="F903"/>
      <c r="H903"/>
    </row>
    <row r="904" spans="1:8" s="63" customFormat="1" ht="13.2">
      <c r="A904" s="149"/>
      <c r="B904" s="150"/>
      <c r="C904" s="150"/>
      <c r="D904" s="150"/>
      <c r="F904"/>
      <c r="H904"/>
    </row>
    <row r="905" spans="1:8" s="63" customFormat="1" ht="13.2">
      <c r="A905" s="149"/>
      <c r="B905" s="150"/>
      <c r="C905" s="150"/>
      <c r="D905" s="150"/>
      <c r="F905"/>
      <c r="H905"/>
    </row>
    <row r="906" spans="1:8" s="63" customFormat="1" ht="13.2">
      <c r="A906" s="149"/>
      <c r="B906" s="150"/>
      <c r="C906" s="150"/>
      <c r="D906" s="150"/>
      <c r="F906"/>
      <c r="H906"/>
    </row>
    <row r="907" spans="1:8" s="63" customFormat="1" ht="13.2">
      <c r="A907" s="149"/>
      <c r="B907" s="150"/>
      <c r="C907" s="150"/>
      <c r="D907" s="150"/>
      <c r="F907"/>
      <c r="H907"/>
    </row>
    <row r="908" spans="1:8" s="63" customFormat="1" ht="13.2">
      <c r="A908" s="149"/>
      <c r="B908" s="150"/>
      <c r="C908" s="150"/>
      <c r="D908" s="150"/>
      <c r="F908"/>
      <c r="H908"/>
    </row>
    <row r="909" spans="1:8" s="63" customFormat="1" ht="13.2">
      <c r="A909" s="149"/>
      <c r="B909" s="150"/>
      <c r="C909" s="150"/>
      <c r="D909" s="150"/>
      <c r="F909"/>
      <c r="H909"/>
    </row>
    <row r="910" spans="1:8" s="63" customFormat="1" ht="13.2">
      <c r="A910" s="149"/>
      <c r="B910" s="150"/>
      <c r="C910" s="150"/>
      <c r="D910" s="150"/>
      <c r="F910"/>
      <c r="H910"/>
    </row>
    <row r="911" spans="1:8" s="63" customFormat="1" ht="13.2">
      <c r="A911" s="149"/>
      <c r="B911" s="150"/>
      <c r="C911" s="150"/>
      <c r="D911" s="150"/>
      <c r="F911"/>
      <c r="H911"/>
    </row>
    <row r="912" spans="1:8" s="63" customFormat="1" ht="13.2">
      <c r="A912" s="149"/>
      <c r="B912" s="150"/>
      <c r="C912" s="150"/>
      <c r="D912" s="150"/>
      <c r="F912"/>
      <c r="H912"/>
    </row>
    <row r="913" spans="1:8" s="63" customFormat="1" ht="13.2">
      <c r="A913" s="149"/>
      <c r="B913" s="150"/>
      <c r="C913" s="150"/>
      <c r="D913" s="150"/>
      <c r="F913"/>
      <c r="H913"/>
    </row>
    <row r="914" spans="1:8" s="63" customFormat="1" ht="13.2">
      <c r="A914" s="149"/>
      <c r="B914" s="150"/>
      <c r="C914" s="150"/>
      <c r="D914" s="150"/>
      <c r="F914"/>
      <c r="H914"/>
    </row>
    <row r="915" spans="1:8" s="63" customFormat="1" ht="13.2">
      <c r="A915" s="149"/>
      <c r="B915" s="150"/>
      <c r="C915" s="150"/>
      <c r="D915" s="150"/>
      <c r="F915"/>
      <c r="H915"/>
    </row>
    <row r="916" spans="1:8" s="63" customFormat="1" ht="13.2">
      <c r="A916" s="149"/>
      <c r="B916" s="150"/>
      <c r="C916" s="150"/>
      <c r="D916" s="150"/>
      <c r="F916"/>
      <c r="H916"/>
    </row>
    <row r="917" spans="1:8" s="63" customFormat="1" ht="13.2">
      <c r="A917" s="149"/>
      <c r="B917" s="150"/>
      <c r="C917" s="150"/>
      <c r="D917" s="150"/>
      <c r="F917"/>
      <c r="H917"/>
    </row>
    <row r="918" spans="1:8" s="63" customFormat="1" ht="13.2">
      <c r="A918" s="149"/>
      <c r="B918" s="150"/>
      <c r="C918" s="150"/>
      <c r="D918" s="150"/>
      <c r="F918"/>
      <c r="H918"/>
    </row>
    <row r="919" spans="1:8" s="63" customFormat="1" ht="13.2">
      <c r="A919" s="149"/>
      <c r="B919" s="150"/>
      <c r="C919" s="150"/>
      <c r="D919" s="150"/>
      <c r="F919"/>
      <c r="H919"/>
    </row>
    <row r="920" spans="1:8" s="63" customFormat="1" ht="13.2">
      <c r="A920" s="149"/>
      <c r="B920" s="150"/>
      <c r="C920" s="150"/>
      <c r="D920" s="150"/>
      <c r="F920"/>
      <c r="H920"/>
    </row>
    <row r="921" spans="1:8" s="63" customFormat="1" ht="13.2">
      <c r="A921" s="149"/>
      <c r="B921" s="150"/>
      <c r="C921" s="150"/>
      <c r="D921" s="150"/>
      <c r="F921"/>
      <c r="H921"/>
    </row>
    <row r="922" spans="1:8" s="63" customFormat="1" ht="13.2">
      <c r="A922" s="149"/>
      <c r="B922" s="150"/>
      <c r="C922" s="150"/>
      <c r="D922" s="150"/>
      <c r="F922"/>
      <c r="H922"/>
    </row>
    <row r="923" spans="1:8" s="63" customFormat="1" ht="13.2">
      <c r="A923" s="149"/>
      <c r="B923" s="150"/>
      <c r="C923" s="150"/>
      <c r="D923" s="150"/>
      <c r="F923"/>
      <c r="H923"/>
    </row>
    <row r="924" spans="1:8" s="63" customFormat="1" ht="13.2">
      <c r="A924" s="149"/>
      <c r="B924" s="150"/>
      <c r="C924" s="150"/>
      <c r="D924" s="150"/>
      <c r="F924"/>
      <c r="H924"/>
    </row>
    <row r="925" spans="1:8" s="63" customFormat="1" ht="13.2">
      <c r="A925" s="149"/>
      <c r="B925" s="150"/>
      <c r="C925" s="150"/>
      <c r="D925" s="150"/>
      <c r="F925"/>
      <c r="H925"/>
    </row>
    <row r="926" spans="1:8" s="63" customFormat="1" ht="13.2">
      <c r="A926" s="149"/>
      <c r="B926" s="150"/>
      <c r="C926" s="150"/>
      <c r="D926" s="150"/>
      <c r="F926"/>
      <c r="H926"/>
    </row>
    <row r="927" spans="1:8" s="63" customFormat="1" ht="13.2">
      <c r="A927" s="149"/>
      <c r="B927" s="150"/>
      <c r="C927" s="150"/>
      <c r="D927" s="150"/>
      <c r="F927"/>
      <c r="H927"/>
    </row>
    <row r="928" spans="1:8" s="63" customFormat="1" ht="13.2">
      <c r="A928" s="149"/>
      <c r="B928" s="150"/>
      <c r="C928" s="150"/>
      <c r="D928" s="150"/>
      <c r="F928"/>
      <c r="H928"/>
    </row>
    <row r="929" spans="1:8" s="63" customFormat="1" ht="13.2">
      <c r="A929" s="149"/>
      <c r="B929" s="150"/>
      <c r="C929" s="150"/>
      <c r="D929" s="150"/>
      <c r="F929"/>
      <c r="H929"/>
    </row>
    <row r="930" spans="1:8" s="63" customFormat="1" ht="13.2">
      <c r="A930" s="149"/>
      <c r="B930" s="150"/>
      <c r="C930" s="150"/>
      <c r="D930" s="150"/>
      <c r="F930"/>
      <c r="H930"/>
    </row>
    <row r="931" spans="1:8" s="63" customFormat="1" ht="13.2">
      <c r="A931" s="149"/>
      <c r="B931" s="150"/>
      <c r="C931" s="150"/>
      <c r="D931" s="150"/>
      <c r="F931"/>
      <c r="H931"/>
    </row>
    <row r="932" spans="1:8" s="63" customFormat="1" ht="13.2">
      <c r="A932" s="149"/>
      <c r="B932" s="150"/>
      <c r="C932" s="150"/>
      <c r="D932" s="150"/>
      <c r="F932"/>
      <c r="H932"/>
    </row>
    <row r="933" spans="1:8" s="63" customFormat="1" ht="13.2">
      <c r="A933" s="149"/>
      <c r="B933" s="150"/>
      <c r="C933" s="150"/>
      <c r="D933" s="150"/>
      <c r="F933"/>
      <c r="H933"/>
    </row>
    <row r="934" spans="1:8" s="63" customFormat="1" ht="13.2">
      <c r="A934" s="149"/>
      <c r="B934" s="150"/>
      <c r="C934" s="150"/>
      <c r="D934" s="150"/>
      <c r="F934"/>
      <c r="H934"/>
    </row>
    <row r="935" spans="1:8" s="63" customFormat="1" ht="13.2">
      <c r="A935" s="149"/>
      <c r="B935" s="150"/>
      <c r="C935" s="150"/>
      <c r="D935" s="150"/>
      <c r="F935"/>
      <c r="H935"/>
    </row>
    <row r="936" spans="1:8" s="63" customFormat="1" ht="13.2">
      <c r="A936" s="149"/>
      <c r="B936" s="150"/>
      <c r="C936" s="150"/>
      <c r="D936" s="150"/>
      <c r="F936"/>
      <c r="H936"/>
    </row>
    <row r="937" spans="1:8" s="63" customFormat="1" ht="13.2">
      <c r="A937" s="149"/>
      <c r="B937" s="150"/>
      <c r="C937" s="150"/>
      <c r="D937" s="150"/>
      <c r="F937"/>
      <c r="H937"/>
    </row>
    <row r="938" spans="1:8" s="63" customFormat="1" ht="13.2">
      <c r="A938" s="149"/>
      <c r="B938" s="150"/>
      <c r="C938" s="150"/>
      <c r="D938" s="150"/>
      <c r="F938"/>
      <c r="H938"/>
    </row>
    <row r="939" spans="1:8" s="63" customFormat="1" ht="13.2">
      <c r="A939" s="149"/>
      <c r="B939" s="150"/>
      <c r="C939" s="150"/>
      <c r="D939" s="150"/>
      <c r="F939"/>
      <c r="H939"/>
    </row>
    <row r="940" spans="1:8" s="63" customFormat="1" ht="13.2">
      <c r="A940" s="149"/>
      <c r="B940" s="150"/>
      <c r="C940" s="150"/>
      <c r="D940" s="150"/>
      <c r="F940"/>
      <c r="H940"/>
    </row>
    <row r="941" spans="1:8" s="63" customFormat="1" ht="13.2">
      <c r="A941" s="149"/>
      <c r="B941" s="150"/>
      <c r="C941" s="150"/>
      <c r="D941" s="150"/>
      <c r="F941"/>
      <c r="H941"/>
    </row>
    <row r="942" spans="1:8" s="63" customFormat="1" ht="13.2">
      <c r="A942" s="149"/>
      <c r="B942" s="150"/>
      <c r="C942" s="150"/>
      <c r="D942" s="150"/>
      <c r="F942"/>
      <c r="H942"/>
    </row>
    <row r="943" spans="1:8" s="63" customFormat="1" ht="13.2">
      <c r="A943" s="149"/>
      <c r="B943" s="150"/>
      <c r="C943" s="150"/>
      <c r="D943" s="150"/>
      <c r="F943"/>
      <c r="H943"/>
    </row>
    <row r="944" spans="1:8" s="63" customFormat="1" ht="13.2">
      <c r="A944" s="149"/>
      <c r="B944" s="150"/>
      <c r="C944" s="150"/>
      <c r="D944" s="150"/>
      <c r="F944"/>
      <c r="H944"/>
    </row>
    <row r="945" spans="1:8" s="63" customFormat="1" ht="13.2">
      <c r="A945" s="149"/>
      <c r="B945" s="150"/>
      <c r="C945" s="150"/>
      <c r="D945" s="150"/>
      <c r="F945"/>
      <c r="H945"/>
    </row>
    <row r="946" spans="1:8" s="63" customFormat="1" ht="13.2">
      <c r="A946" s="149"/>
      <c r="B946" s="150"/>
      <c r="C946" s="150"/>
      <c r="D946" s="150"/>
      <c r="F946"/>
      <c r="H946"/>
    </row>
    <row r="947" spans="1:8" s="63" customFormat="1" ht="13.2">
      <c r="A947" s="149"/>
      <c r="B947" s="150"/>
      <c r="C947" s="150"/>
      <c r="D947" s="150"/>
      <c r="F947"/>
      <c r="H947"/>
    </row>
    <row r="948" spans="1:8" s="63" customFormat="1" ht="13.2">
      <c r="A948" s="149"/>
      <c r="B948" s="150"/>
      <c r="C948" s="150"/>
      <c r="D948" s="150"/>
      <c r="F948"/>
      <c r="H948"/>
    </row>
    <row r="949" spans="1:8" s="63" customFormat="1" ht="13.2">
      <c r="A949" s="149"/>
      <c r="B949" s="150"/>
      <c r="C949" s="150"/>
      <c r="D949" s="150"/>
      <c r="F949"/>
      <c r="H949"/>
    </row>
    <row r="950" spans="1:8" s="63" customFormat="1" ht="13.2">
      <c r="A950" s="149"/>
      <c r="B950" s="150"/>
      <c r="C950" s="150"/>
      <c r="D950" s="150"/>
      <c r="F950"/>
      <c r="H950"/>
    </row>
    <row r="951" spans="1:8" s="63" customFormat="1" ht="13.2">
      <c r="A951" s="149"/>
      <c r="B951" s="150"/>
      <c r="C951" s="150"/>
      <c r="D951" s="150"/>
      <c r="F951"/>
      <c r="H951"/>
    </row>
    <row r="952" spans="1:8" s="63" customFormat="1" ht="13.2">
      <c r="A952" s="149"/>
      <c r="B952" s="150"/>
      <c r="C952" s="150"/>
      <c r="D952" s="150"/>
      <c r="F952"/>
      <c r="H952"/>
    </row>
    <row r="953" spans="1:8" s="63" customFormat="1" ht="13.2">
      <c r="A953" s="149"/>
      <c r="B953" s="150"/>
      <c r="C953" s="150"/>
      <c r="D953" s="150"/>
      <c r="F953"/>
      <c r="H953"/>
    </row>
    <row r="954" spans="1:8" s="63" customFormat="1" ht="13.2">
      <c r="A954" s="149"/>
      <c r="B954" s="150"/>
      <c r="C954" s="150"/>
      <c r="D954" s="150"/>
      <c r="F954"/>
      <c r="H954"/>
    </row>
    <row r="955" spans="1:8" s="63" customFormat="1" ht="13.2">
      <c r="A955" s="149"/>
      <c r="B955" s="150"/>
      <c r="C955" s="150"/>
      <c r="D955" s="150"/>
      <c r="F955"/>
      <c r="H955"/>
    </row>
    <row r="956" spans="1:8" s="63" customFormat="1" ht="13.2">
      <c r="A956" s="149"/>
      <c r="B956" s="150"/>
      <c r="C956" s="150"/>
      <c r="D956" s="150"/>
      <c r="F956"/>
      <c r="H956"/>
    </row>
    <row r="957" spans="1:8" s="63" customFormat="1" ht="13.2">
      <c r="A957" s="149"/>
      <c r="B957" s="150"/>
      <c r="C957" s="150"/>
      <c r="D957" s="150"/>
      <c r="F957"/>
      <c r="H957"/>
    </row>
    <row r="958" spans="1:8" s="63" customFormat="1" ht="13.2">
      <c r="A958" s="149"/>
      <c r="B958" s="150"/>
      <c r="C958" s="150"/>
      <c r="D958" s="150"/>
      <c r="F958"/>
      <c r="H958"/>
    </row>
    <row r="959" spans="1:8" s="63" customFormat="1" ht="13.2">
      <c r="A959" s="149"/>
      <c r="B959" s="150"/>
      <c r="C959" s="150"/>
      <c r="D959" s="150"/>
      <c r="F959"/>
      <c r="H959"/>
    </row>
    <row r="960" spans="1:8" s="63" customFormat="1" ht="13.2">
      <c r="A960" s="149"/>
      <c r="B960" s="150"/>
      <c r="C960" s="150"/>
      <c r="D960" s="150"/>
      <c r="F960"/>
      <c r="H960"/>
    </row>
    <row r="961" spans="1:8" s="63" customFormat="1" ht="13.2">
      <c r="A961" s="149"/>
      <c r="B961" s="150"/>
      <c r="C961" s="150"/>
      <c r="D961" s="150"/>
      <c r="F961"/>
      <c r="H961"/>
    </row>
    <row r="962" spans="1:8" s="63" customFormat="1" ht="13.2">
      <c r="A962" s="149"/>
      <c r="B962" s="150"/>
      <c r="C962" s="150"/>
      <c r="D962" s="150"/>
      <c r="F962"/>
      <c r="H962"/>
    </row>
    <row r="963" spans="1:8" s="63" customFormat="1" ht="13.2">
      <c r="A963" s="149"/>
      <c r="B963" s="150"/>
      <c r="C963" s="150"/>
      <c r="D963" s="150"/>
      <c r="F963"/>
      <c r="H963"/>
    </row>
    <row r="964" spans="1:8" s="63" customFormat="1" ht="13.2">
      <c r="A964" s="149"/>
      <c r="B964" s="150"/>
      <c r="C964" s="150"/>
      <c r="D964" s="150"/>
      <c r="F964"/>
      <c r="H964"/>
    </row>
    <row r="965" spans="1:8" s="63" customFormat="1" ht="13.2">
      <c r="A965" s="149"/>
      <c r="B965" s="150"/>
      <c r="C965" s="150"/>
      <c r="D965" s="150"/>
      <c r="F965"/>
      <c r="H965"/>
    </row>
    <row r="966" spans="1:8" s="63" customFormat="1" ht="13.2">
      <c r="A966" s="149"/>
      <c r="B966" s="150"/>
      <c r="C966" s="150"/>
      <c r="D966" s="150"/>
      <c r="F966"/>
      <c r="H966"/>
    </row>
    <row r="967" spans="1:8" ht="13.2">
      <c r="F967"/>
      <c r="H967"/>
    </row>
    <row r="968" spans="1:8" ht="13.2">
      <c r="F968"/>
      <c r="H968"/>
    </row>
    <row r="969" spans="1:8" ht="13.2">
      <c r="F969"/>
      <c r="H969"/>
    </row>
    <row r="970" spans="1:8" ht="13.2">
      <c r="F970"/>
      <c r="H970"/>
    </row>
    <row r="971" spans="1:8" ht="13.2">
      <c r="F971"/>
      <c r="H971"/>
    </row>
    <row r="972" spans="1:8" ht="13.2">
      <c r="F972"/>
      <c r="H97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Y972"/>
  <sheetViews>
    <sheetView zoomScale="80" zoomScaleNormal="80" workbookViewId="0">
      <selection activeCell="C25" sqref="C25"/>
    </sheetView>
  </sheetViews>
  <sheetFormatPr defaultColWidth="9.109375" defaultRowHeight="10.199999999999999"/>
  <cols>
    <col min="1" max="1" width="29.33203125" style="10" customWidth="1"/>
    <col min="2" max="2" width="33" style="7" customWidth="1"/>
    <col min="3" max="4" width="34.6640625" style="7" customWidth="1"/>
    <col min="5" max="5" width="10.33203125" style="6"/>
    <col min="6" max="6" width="15.5546875" style="6" customWidth="1"/>
    <col min="7" max="7" width="7.5546875" style="6" customWidth="1"/>
    <col min="8" max="8" width="29" style="8" customWidth="1"/>
    <col min="9" max="9" width="28.33203125" style="8" customWidth="1"/>
    <col min="10" max="10" width="6.33203125" style="8" customWidth="1"/>
    <col min="11" max="11" width="28" style="8" customWidth="1"/>
    <col min="12" max="12" width="35.44140625" style="8" customWidth="1"/>
    <col min="13" max="13" width="10.33203125" style="6"/>
    <col min="14" max="14" width="26.6640625" style="6" customWidth="1"/>
    <col min="15" max="15" width="27" style="6" customWidth="1"/>
    <col min="16" max="16" width="9.6640625" style="4" customWidth="1"/>
    <col min="17" max="17" width="1.44140625" style="58" customWidth="1"/>
    <col min="18" max="18" width="12" style="4" bestFit="1" customWidth="1"/>
    <col min="19" max="19" width="3.5546875" style="63" bestFit="1" customWidth="1"/>
    <col min="20" max="20" width="33.33203125" style="63" bestFit="1" customWidth="1"/>
    <col min="21" max="21" width="17.44140625" style="63" bestFit="1" customWidth="1"/>
    <col min="22" max="22" width="37.6640625" style="63" bestFit="1" customWidth="1"/>
    <col min="23" max="23" width="66.6640625" style="63" bestFit="1" customWidth="1"/>
    <col min="24" max="24" width="26" style="63" bestFit="1" customWidth="1"/>
    <col min="25" max="25" width="9.88671875" style="63" bestFit="1" customWidth="1"/>
    <col min="26" max="16384" width="9.109375" style="4"/>
  </cols>
  <sheetData>
    <row r="1" spans="1:25" ht="10.8" thickBot="1">
      <c r="A1" s="5" t="s">
        <v>1738</v>
      </c>
      <c r="B1" s="6" t="s">
        <v>1739</v>
      </c>
      <c r="C1" s="7" t="e">
        <f ca="1">OFFSET($F$7,1,0,COUNTA($F$8:$F$150),1)</f>
        <v>#VALUE!</v>
      </c>
      <c r="Q1" s="57"/>
      <c r="R1" s="59" t="s">
        <v>1933</v>
      </c>
      <c r="S1" s="61" t="s">
        <v>2045</v>
      </c>
      <c r="T1" s="61" t="s">
        <v>1934</v>
      </c>
      <c r="U1" s="61" t="s">
        <v>1923</v>
      </c>
      <c r="V1" s="61" t="s">
        <v>1717</v>
      </c>
      <c r="W1" s="61" t="s">
        <v>1731</v>
      </c>
      <c r="X1" s="61" t="s">
        <v>1936</v>
      </c>
      <c r="Y1" s="61" t="s">
        <v>1935</v>
      </c>
    </row>
    <row r="2" spans="1:25" ht="10.8" thickBot="1">
      <c r="A2" s="5" t="s">
        <v>1740</v>
      </c>
      <c r="B2" s="6" t="s">
        <v>1741</v>
      </c>
      <c r="C2" s="7" t="e">
        <f ca="1">OFFSET($I$7,MATCH($B$1,$H$8:$H$150,0),0,COUNTIF($H$8:$H$150,$B$1),1)</f>
        <v>#VALUE!</v>
      </c>
      <c r="S2" s="61"/>
      <c r="T2" s="60" t="s">
        <v>2048</v>
      </c>
      <c r="U2" s="60" t="s">
        <v>1739</v>
      </c>
      <c r="V2" s="60" t="s">
        <v>1781</v>
      </c>
      <c r="W2" s="60" t="s">
        <v>1836</v>
      </c>
      <c r="X2" s="62" t="s">
        <v>1932</v>
      </c>
      <c r="Y2" s="60"/>
    </row>
    <row r="3" spans="1:25" ht="10.8" thickBot="1">
      <c r="A3" s="5" t="s">
        <v>1742</v>
      </c>
      <c r="B3" s="6" t="s">
        <v>1743</v>
      </c>
      <c r="C3" s="7" t="e">
        <f ca="1">OFFSET($L$7,MATCH($B$2,$K$8:$K$150,0),0,COUNTIF($K$8:$K$150,$B$2),1)</f>
        <v>#VALUE!</v>
      </c>
      <c r="S3" s="61"/>
      <c r="T3" s="60" t="s">
        <v>2046</v>
      </c>
      <c r="U3" s="60" t="s">
        <v>1758</v>
      </c>
      <c r="V3" s="60" t="s">
        <v>1790</v>
      </c>
      <c r="W3" s="60" t="s">
        <v>1847</v>
      </c>
      <c r="X3" s="62" t="s">
        <v>1932</v>
      </c>
      <c r="Y3" s="60"/>
    </row>
    <row r="4" spans="1:25" ht="20.399999999999999">
      <c r="A4" s="9" t="s">
        <v>1744</v>
      </c>
      <c r="B4" s="6" t="s">
        <v>1745</v>
      </c>
      <c r="C4" s="7" t="s">
        <v>1746</v>
      </c>
      <c r="S4" s="61"/>
      <c r="T4" s="60" t="s">
        <v>1937</v>
      </c>
      <c r="U4" s="60" t="s">
        <v>1739</v>
      </c>
      <c r="V4" s="60" t="s">
        <v>1768</v>
      </c>
      <c r="W4" s="60" t="s">
        <v>1794</v>
      </c>
      <c r="X4" s="62" t="s">
        <v>1932</v>
      </c>
      <c r="Y4" s="60"/>
    </row>
    <row r="5" spans="1:25">
      <c r="B5" s="11"/>
      <c r="C5" s="11"/>
      <c r="D5" s="11"/>
      <c r="S5" s="61"/>
      <c r="T5" s="60" t="s">
        <v>2046</v>
      </c>
      <c r="U5" s="60" t="s">
        <v>1758</v>
      </c>
      <c r="V5" s="60" t="s">
        <v>1790</v>
      </c>
      <c r="W5" s="60" t="s">
        <v>1847</v>
      </c>
      <c r="X5" s="62" t="s">
        <v>1932</v>
      </c>
      <c r="Y5" s="60"/>
    </row>
    <row r="6" spans="1:25" ht="10.8" thickBot="1">
      <c r="A6" s="669" t="s">
        <v>1747</v>
      </c>
      <c r="B6" s="669"/>
      <c r="C6" s="669"/>
      <c r="D6" s="669"/>
      <c r="F6" s="12" t="s">
        <v>1748</v>
      </c>
      <c r="G6" s="12"/>
      <c r="H6" s="13"/>
      <c r="I6" s="13" t="s">
        <v>1749</v>
      </c>
      <c r="J6" s="13"/>
      <c r="K6" s="13" t="s">
        <v>1750</v>
      </c>
      <c r="N6" s="13" t="s">
        <v>1751</v>
      </c>
      <c r="S6" s="61"/>
      <c r="T6" s="60" t="s">
        <v>1938</v>
      </c>
      <c r="U6" s="60" t="s">
        <v>1758</v>
      </c>
      <c r="V6" s="60" t="s">
        <v>1790</v>
      </c>
      <c r="W6" s="60" t="s">
        <v>1847</v>
      </c>
      <c r="X6" s="62" t="s">
        <v>1932</v>
      </c>
      <c r="Y6" s="60"/>
    </row>
    <row r="7" spans="1:25" ht="12.6" thickBot="1">
      <c r="A7" s="14" t="s">
        <v>1738</v>
      </c>
      <c r="B7" s="14" t="s">
        <v>1740</v>
      </c>
      <c r="C7" s="14" t="s">
        <v>1742</v>
      </c>
      <c r="D7" s="15" t="s">
        <v>1744</v>
      </c>
      <c r="F7" s="16" t="s">
        <v>1738</v>
      </c>
      <c r="G7" s="12"/>
      <c r="H7" s="17" t="s">
        <v>1738</v>
      </c>
      <c r="I7" s="17" t="s">
        <v>1740</v>
      </c>
      <c r="J7" s="13"/>
      <c r="K7" s="17" t="s">
        <v>1740</v>
      </c>
      <c r="L7" s="17" t="s">
        <v>1742</v>
      </c>
      <c r="N7" s="14" t="s">
        <v>1742</v>
      </c>
      <c r="O7" s="15" t="s">
        <v>1744</v>
      </c>
      <c r="S7" s="61"/>
      <c r="T7" s="60" t="s">
        <v>1938</v>
      </c>
      <c r="U7" s="60" t="s">
        <v>1758</v>
      </c>
      <c r="V7" s="60" t="s">
        <v>1790</v>
      </c>
      <c r="W7" s="60" t="s">
        <v>1847</v>
      </c>
      <c r="X7" s="62" t="s">
        <v>1932</v>
      </c>
      <c r="Y7" s="60"/>
    </row>
    <row r="8" spans="1:25" ht="20.399999999999999">
      <c r="A8" s="18" t="s">
        <v>1752</v>
      </c>
      <c r="B8" s="19" t="s">
        <v>1753</v>
      </c>
      <c r="C8" s="20" t="s">
        <v>1754</v>
      </c>
      <c r="D8" s="21"/>
      <c r="F8" s="22" t="s">
        <v>1752</v>
      </c>
      <c r="H8" s="23" t="s">
        <v>1752</v>
      </c>
      <c r="I8" s="24" t="s">
        <v>1753</v>
      </c>
      <c r="J8" s="25"/>
      <c r="K8" s="24" t="s">
        <v>1753</v>
      </c>
      <c r="L8" s="24" t="s">
        <v>1754</v>
      </c>
      <c r="M8" s="26"/>
      <c r="N8" s="24" t="s">
        <v>1754</v>
      </c>
      <c r="O8" s="24"/>
      <c r="S8" s="61"/>
      <c r="T8" s="60" t="s">
        <v>2046</v>
      </c>
      <c r="U8" s="60" t="s">
        <v>1758</v>
      </c>
      <c r="V8" s="60" t="s">
        <v>1790</v>
      </c>
      <c r="W8" s="60" t="s">
        <v>1847</v>
      </c>
      <c r="X8" s="62" t="s">
        <v>1932</v>
      </c>
      <c r="Y8" s="60"/>
    </row>
    <row r="9" spans="1:25" ht="20.399999999999999">
      <c r="A9" s="27" t="s">
        <v>1752</v>
      </c>
      <c r="B9" s="28" t="s">
        <v>1753</v>
      </c>
      <c r="C9" s="29" t="s">
        <v>1755</v>
      </c>
      <c r="D9" s="30"/>
      <c r="F9" s="22" t="s">
        <v>1739</v>
      </c>
      <c r="H9" s="23" t="s">
        <v>1752</v>
      </c>
      <c r="I9" s="24" t="s">
        <v>1756</v>
      </c>
      <c r="J9" s="25"/>
      <c r="K9" s="24" t="s">
        <v>1753</v>
      </c>
      <c r="L9" s="24" t="s">
        <v>1755</v>
      </c>
      <c r="M9" s="26"/>
      <c r="N9" s="24" t="s">
        <v>1755</v>
      </c>
      <c r="O9" s="24"/>
      <c r="S9" s="61"/>
      <c r="T9" s="60" t="s">
        <v>1939</v>
      </c>
      <c r="U9" s="60" t="s">
        <v>1739</v>
      </c>
      <c r="V9" s="60" t="s">
        <v>1768</v>
      </c>
      <c r="W9" s="60" t="s">
        <v>1788</v>
      </c>
      <c r="X9" s="62" t="s">
        <v>1932</v>
      </c>
      <c r="Y9" s="60"/>
    </row>
    <row r="10" spans="1:25" ht="20.399999999999999">
      <c r="A10" s="27" t="s">
        <v>1752</v>
      </c>
      <c r="B10" s="31" t="s">
        <v>1753</v>
      </c>
      <c r="C10" s="31" t="s">
        <v>1757</v>
      </c>
      <c r="D10" s="32"/>
      <c r="F10" s="33" t="s">
        <v>1758</v>
      </c>
      <c r="H10" s="23" t="s">
        <v>1752</v>
      </c>
      <c r="I10" s="24" t="s">
        <v>1759</v>
      </c>
      <c r="J10" s="25"/>
      <c r="K10" s="24" t="s">
        <v>1753</v>
      </c>
      <c r="L10" s="24" t="s">
        <v>1757</v>
      </c>
      <c r="M10" s="26"/>
      <c r="N10" s="24" t="s">
        <v>1757</v>
      </c>
      <c r="O10" s="24"/>
      <c r="S10" s="61"/>
      <c r="T10" s="60" t="s">
        <v>2046</v>
      </c>
      <c r="U10" s="60" t="s">
        <v>1758</v>
      </c>
      <c r="V10" s="60" t="s">
        <v>1790</v>
      </c>
      <c r="W10" s="60" t="s">
        <v>1847</v>
      </c>
      <c r="X10" s="62" t="s">
        <v>1932</v>
      </c>
      <c r="Y10" s="60"/>
    </row>
    <row r="11" spans="1:25">
      <c r="A11" s="27" t="s">
        <v>1752</v>
      </c>
      <c r="B11" s="29" t="s">
        <v>1756</v>
      </c>
      <c r="C11" s="29"/>
      <c r="D11" s="30"/>
      <c r="F11" s="33" t="s">
        <v>1760</v>
      </c>
      <c r="H11" s="23" t="s">
        <v>1739</v>
      </c>
      <c r="I11" s="24" t="s">
        <v>1761</v>
      </c>
      <c r="J11" s="25"/>
      <c r="K11" s="24" t="s">
        <v>1756</v>
      </c>
      <c r="L11" s="24"/>
      <c r="M11" s="26"/>
      <c r="N11" s="24"/>
      <c r="O11" s="24"/>
      <c r="S11" s="61"/>
      <c r="T11" s="60" t="s">
        <v>1940</v>
      </c>
      <c r="U11" s="60" t="s">
        <v>1758</v>
      </c>
      <c r="V11" s="60" t="s">
        <v>1796</v>
      </c>
      <c r="W11" s="60" t="s">
        <v>1870</v>
      </c>
      <c r="X11" s="62" t="s">
        <v>1932</v>
      </c>
      <c r="Y11" s="60"/>
    </row>
    <row r="12" spans="1:25" ht="10.8" thickBot="1">
      <c r="A12" s="34" t="s">
        <v>1752</v>
      </c>
      <c r="B12" s="35" t="s">
        <v>1759</v>
      </c>
      <c r="C12" s="35"/>
      <c r="D12" s="36"/>
      <c r="F12" s="33" t="s">
        <v>1762</v>
      </c>
      <c r="H12" s="23" t="s">
        <v>1739</v>
      </c>
      <c r="I12" s="24" t="s">
        <v>1763</v>
      </c>
      <c r="J12" s="25"/>
      <c r="K12" s="24" t="s">
        <v>1759</v>
      </c>
      <c r="L12" s="24"/>
      <c r="M12" s="26"/>
      <c r="N12" s="24"/>
      <c r="O12" s="24"/>
      <c r="S12" s="61"/>
      <c r="T12" s="60" t="s">
        <v>2046</v>
      </c>
      <c r="U12" s="60" t="s">
        <v>1758</v>
      </c>
      <c r="V12" s="60" t="s">
        <v>1790</v>
      </c>
      <c r="W12" s="60" t="s">
        <v>1847</v>
      </c>
      <c r="X12" s="62" t="s">
        <v>1932</v>
      </c>
      <c r="Y12" s="60"/>
    </row>
    <row r="13" spans="1:25" ht="30.6">
      <c r="A13" s="27" t="s">
        <v>1739</v>
      </c>
      <c r="B13" s="28" t="s">
        <v>1761</v>
      </c>
      <c r="C13" s="20" t="s">
        <v>1764</v>
      </c>
      <c r="D13" s="21"/>
      <c r="F13" s="33" t="s">
        <v>1765</v>
      </c>
      <c r="H13" s="23" t="s">
        <v>1739</v>
      </c>
      <c r="I13" s="24" t="s">
        <v>1741</v>
      </c>
      <c r="J13" s="25"/>
      <c r="K13" s="24" t="s">
        <v>1761</v>
      </c>
      <c r="L13" s="24" t="s">
        <v>1764</v>
      </c>
      <c r="M13" s="26"/>
      <c r="N13" s="24" t="s">
        <v>1764</v>
      </c>
      <c r="O13" s="24"/>
      <c r="S13" s="61"/>
      <c r="T13" s="60" t="s">
        <v>2049</v>
      </c>
      <c r="U13" s="60" t="s">
        <v>1758</v>
      </c>
      <c r="V13" s="60" t="s">
        <v>1790</v>
      </c>
      <c r="W13" s="60" t="s">
        <v>1847</v>
      </c>
      <c r="X13" s="62" t="s">
        <v>1932</v>
      </c>
      <c r="Y13" s="60"/>
    </row>
    <row r="14" spans="1:25">
      <c r="A14" s="27" t="s">
        <v>1739</v>
      </c>
      <c r="B14" s="31" t="s">
        <v>1761</v>
      </c>
      <c r="C14" s="31" t="s">
        <v>1766</v>
      </c>
      <c r="D14" s="32"/>
      <c r="F14" s="33" t="s">
        <v>1767</v>
      </c>
      <c r="H14" s="23" t="s">
        <v>1739</v>
      </c>
      <c r="I14" s="24" t="s">
        <v>1768</v>
      </c>
      <c r="J14" s="25"/>
      <c r="K14" s="24" t="s">
        <v>1761</v>
      </c>
      <c r="L14" s="24" t="s">
        <v>1766</v>
      </c>
      <c r="M14" s="26"/>
      <c r="N14" s="24" t="s">
        <v>1766</v>
      </c>
      <c r="O14" s="24"/>
      <c r="S14" s="61"/>
      <c r="T14" s="60" t="s">
        <v>2046</v>
      </c>
      <c r="U14" s="60" t="s">
        <v>1758</v>
      </c>
      <c r="V14" s="60" t="s">
        <v>1790</v>
      </c>
      <c r="W14" s="60" t="s">
        <v>1847</v>
      </c>
      <c r="X14" s="62" t="s">
        <v>1932</v>
      </c>
      <c r="Y14" s="60"/>
    </row>
    <row r="15" spans="1:25" ht="13.2">
      <c r="A15" s="27" t="s">
        <v>1739</v>
      </c>
      <c r="B15" s="28" t="s">
        <v>1763</v>
      </c>
      <c r="C15" s="29" t="s">
        <v>1769</v>
      </c>
      <c r="D15" s="30"/>
      <c r="F15"/>
      <c r="H15" s="23" t="s">
        <v>1739</v>
      </c>
      <c r="I15" s="24" t="s">
        <v>1770</v>
      </c>
      <c r="J15" s="25"/>
      <c r="K15" s="24" t="s">
        <v>1763</v>
      </c>
      <c r="L15" s="24" t="s">
        <v>1769</v>
      </c>
      <c r="M15" s="26"/>
      <c r="N15" s="24" t="s">
        <v>1769</v>
      </c>
      <c r="O15" s="24"/>
      <c r="S15" s="61"/>
      <c r="T15" s="60" t="s">
        <v>2050</v>
      </c>
      <c r="U15" s="60" t="s">
        <v>1739</v>
      </c>
      <c r="V15" s="60" t="s">
        <v>1770</v>
      </c>
      <c r="W15" s="60" t="s">
        <v>1797</v>
      </c>
      <c r="X15" s="62" t="s">
        <v>1932</v>
      </c>
      <c r="Y15" s="60"/>
    </row>
    <row r="16" spans="1:25" ht="30.6">
      <c r="A16" s="27" t="s">
        <v>1739</v>
      </c>
      <c r="B16" s="31" t="s">
        <v>1763</v>
      </c>
      <c r="C16" s="31" t="s">
        <v>1771</v>
      </c>
      <c r="D16" s="32"/>
      <c r="F16"/>
      <c r="H16" s="23" t="s">
        <v>1739</v>
      </c>
      <c r="I16" s="24" t="s">
        <v>1772</v>
      </c>
      <c r="J16" s="25"/>
      <c r="K16" s="24" t="s">
        <v>1763</v>
      </c>
      <c r="L16" s="24" t="s">
        <v>1771</v>
      </c>
      <c r="M16" s="26"/>
      <c r="N16" s="24" t="s">
        <v>1771</v>
      </c>
      <c r="O16" s="24"/>
      <c r="S16" s="61"/>
      <c r="T16" s="60" t="s">
        <v>2046</v>
      </c>
      <c r="U16" s="60" t="s">
        <v>1758</v>
      </c>
      <c r="V16" s="60" t="s">
        <v>1790</v>
      </c>
      <c r="W16" s="60" t="s">
        <v>1847</v>
      </c>
      <c r="X16" s="62" t="s">
        <v>1932</v>
      </c>
      <c r="Y16" s="60"/>
    </row>
    <row r="17" spans="1:25" ht="13.2">
      <c r="A17" s="27" t="s">
        <v>1739</v>
      </c>
      <c r="B17" s="28" t="s">
        <v>1741</v>
      </c>
      <c r="C17" s="29" t="s">
        <v>1773</v>
      </c>
      <c r="D17" s="30" t="s">
        <v>1774</v>
      </c>
      <c r="F17"/>
      <c r="H17" s="23" t="s">
        <v>1739</v>
      </c>
      <c r="I17" s="37" t="s">
        <v>1775</v>
      </c>
      <c r="J17" s="25"/>
      <c r="K17" s="24" t="s">
        <v>1741</v>
      </c>
      <c r="L17" s="24" t="s">
        <v>1773</v>
      </c>
      <c r="M17" s="26"/>
      <c r="N17" s="24" t="s">
        <v>1773</v>
      </c>
      <c r="O17" s="24" t="s">
        <v>1774</v>
      </c>
      <c r="S17" s="61"/>
      <c r="T17" s="60" t="s">
        <v>2051</v>
      </c>
      <c r="U17" s="60" t="s">
        <v>1739</v>
      </c>
      <c r="V17" s="60" t="s">
        <v>1768</v>
      </c>
      <c r="W17" s="60" t="s">
        <v>1788</v>
      </c>
      <c r="X17" s="62" t="s">
        <v>1932</v>
      </c>
      <c r="Y17" s="60"/>
    </row>
    <row r="18" spans="1:25" ht="13.2">
      <c r="A18" s="27" t="s">
        <v>1739</v>
      </c>
      <c r="B18" s="28" t="s">
        <v>1741</v>
      </c>
      <c r="C18" s="28" t="s">
        <v>1743</v>
      </c>
      <c r="D18" s="30" t="s">
        <v>1745</v>
      </c>
      <c r="F18"/>
      <c r="H18" s="23" t="s">
        <v>1739</v>
      </c>
      <c r="I18" s="37" t="s">
        <v>1776</v>
      </c>
      <c r="J18" s="25"/>
      <c r="K18" s="24" t="s">
        <v>1741</v>
      </c>
      <c r="L18" s="24" t="s">
        <v>1743</v>
      </c>
      <c r="M18" s="26"/>
      <c r="N18" s="24" t="s">
        <v>1743</v>
      </c>
      <c r="O18" s="24" t="s">
        <v>1745</v>
      </c>
      <c r="S18" s="61"/>
      <c r="T18" s="60" t="s">
        <v>1940</v>
      </c>
      <c r="U18" s="60" t="s">
        <v>1758</v>
      </c>
      <c r="V18" s="60" t="s">
        <v>1796</v>
      </c>
      <c r="W18" s="60" t="s">
        <v>1870</v>
      </c>
      <c r="X18" s="62" t="s">
        <v>1932</v>
      </c>
      <c r="Y18" s="60"/>
    </row>
    <row r="19" spans="1:25" ht="21">
      <c r="A19" s="27" t="s">
        <v>1739</v>
      </c>
      <c r="B19" s="31" t="s">
        <v>1741</v>
      </c>
      <c r="C19" s="31" t="s">
        <v>1743</v>
      </c>
      <c r="D19" s="30" t="s">
        <v>1777</v>
      </c>
      <c r="F19"/>
      <c r="H19" s="23" t="s">
        <v>1739</v>
      </c>
      <c r="I19" s="37" t="s">
        <v>1778</v>
      </c>
      <c r="J19" s="25"/>
      <c r="K19" s="24" t="s">
        <v>1768</v>
      </c>
      <c r="L19" s="24" t="s">
        <v>1779</v>
      </c>
      <c r="M19" s="26"/>
      <c r="N19" s="24" t="s">
        <v>1743</v>
      </c>
      <c r="O19" s="24" t="s">
        <v>1777</v>
      </c>
      <c r="S19" s="61"/>
      <c r="T19" s="60" t="s">
        <v>1941</v>
      </c>
      <c r="U19" s="60" t="s">
        <v>1739</v>
      </c>
      <c r="V19" s="60" t="s">
        <v>1778</v>
      </c>
      <c r="W19" s="60" t="s">
        <v>1832</v>
      </c>
      <c r="X19" s="62" t="s">
        <v>1932</v>
      </c>
      <c r="Y19" s="60"/>
    </row>
    <row r="20" spans="1:25" ht="13.2">
      <c r="A20" s="27" t="s">
        <v>1739</v>
      </c>
      <c r="B20" s="28" t="s">
        <v>1768</v>
      </c>
      <c r="C20" s="28" t="s">
        <v>1779</v>
      </c>
      <c r="D20" s="30" t="s">
        <v>1780</v>
      </c>
      <c r="F20"/>
      <c r="H20" s="23" t="s">
        <v>1739</v>
      </c>
      <c r="I20" s="37" t="s">
        <v>1781</v>
      </c>
      <c r="J20" s="25"/>
      <c r="K20" s="24" t="s">
        <v>1768</v>
      </c>
      <c r="L20" s="24" t="s">
        <v>1782</v>
      </c>
      <c r="M20" s="26"/>
      <c r="N20" s="24" t="s">
        <v>1779</v>
      </c>
      <c r="O20" s="24" t="s">
        <v>1780</v>
      </c>
      <c r="S20" s="61"/>
      <c r="T20" s="60" t="s">
        <v>2046</v>
      </c>
      <c r="U20" s="60" t="s">
        <v>1758</v>
      </c>
      <c r="V20" s="60" t="s">
        <v>1790</v>
      </c>
      <c r="W20" s="60" t="s">
        <v>1847</v>
      </c>
      <c r="X20" s="62" t="s">
        <v>1932</v>
      </c>
      <c r="Y20" s="60"/>
    </row>
    <row r="21" spans="1:25" ht="13.2">
      <c r="A21" s="27" t="s">
        <v>1739</v>
      </c>
      <c r="B21" s="28" t="s">
        <v>1768</v>
      </c>
      <c r="C21" s="28" t="s">
        <v>1779</v>
      </c>
      <c r="D21" s="30" t="s">
        <v>1783</v>
      </c>
      <c r="F21"/>
      <c r="H21" s="23" t="s">
        <v>1739</v>
      </c>
      <c r="I21" s="37" t="s">
        <v>1784</v>
      </c>
      <c r="J21" s="25"/>
      <c r="K21" s="24" t="s">
        <v>1768</v>
      </c>
      <c r="L21" s="24" t="s">
        <v>1785</v>
      </c>
      <c r="M21" s="26"/>
      <c r="N21" s="24" t="s">
        <v>1779</v>
      </c>
      <c r="O21" s="24" t="s">
        <v>1783</v>
      </c>
      <c r="S21" s="61"/>
      <c r="T21" s="60" t="s">
        <v>1942</v>
      </c>
      <c r="U21" s="60" t="s">
        <v>1758</v>
      </c>
      <c r="V21" s="60" t="s">
        <v>1793</v>
      </c>
      <c r="W21" s="60" t="s">
        <v>1855</v>
      </c>
      <c r="X21" s="62" t="s">
        <v>1932</v>
      </c>
      <c r="Y21" s="60"/>
    </row>
    <row r="22" spans="1:25" ht="13.2">
      <c r="A22" s="27" t="s">
        <v>1739</v>
      </c>
      <c r="B22" s="28" t="s">
        <v>1768</v>
      </c>
      <c r="C22" s="28" t="s">
        <v>1779</v>
      </c>
      <c r="D22" s="30" t="s">
        <v>1786</v>
      </c>
      <c r="F22"/>
      <c r="H22" s="23" t="s">
        <v>1739</v>
      </c>
      <c r="I22" s="37" t="s">
        <v>1787</v>
      </c>
      <c r="J22" s="25"/>
      <c r="K22" s="24" t="s">
        <v>1768</v>
      </c>
      <c r="L22" s="24" t="s">
        <v>1788</v>
      </c>
      <c r="M22" s="26"/>
      <c r="N22" s="24" t="s">
        <v>1779</v>
      </c>
      <c r="O22" s="24" t="s">
        <v>1786</v>
      </c>
      <c r="S22" s="61"/>
      <c r="T22" s="60" t="s">
        <v>1942</v>
      </c>
      <c r="U22" s="60" t="s">
        <v>1758</v>
      </c>
      <c r="V22" s="60" t="s">
        <v>1793</v>
      </c>
      <c r="W22" s="60" t="s">
        <v>1855</v>
      </c>
      <c r="X22" s="62" t="s">
        <v>1932</v>
      </c>
      <c r="Y22" s="60"/>
    </row>
    <row r="23" spans="1:25" ht="13.2">
      <c r="A23" s="27" t="s">
        <v>1739</v>
      </c>
      <c r="B23" s="28" t="s">
        <v>1768</v>
      </c>
      <c r="C23" s="31" t="s">
        <v>1779</v>
      </c>
      <c r="D23" s="30" t="s">
        <v>1789</v>
      </c>
      <c r="F23"/>
      <c r="H23" s="38" t="s">
        <v>1758</v>
      </c>
      <c r="I23" s="37" t="s">
        <v>1790</v>
      </c>
      <c r="J23" s="25"/>
      <c r="K23" s="24" t="s">
        <v>1768</v>
      </c>
      <c r="L23" s="24" t="s">
        <v>1791</v>
      </c>
      <c r="M23" s="26"/>
      <c r="N23" s="24" t="s">
        <v>1779</v>
      </c>
      <c r="O23" s="24" t="s">
        <v>1789</v>
      </c>
      <c r="S23" s="61"/>
      <c r="T23" s="60" t="s">
        <v>1940</v>
      </c>
      <c r="U23" s="60" t="s">
        <v>1758</v>
      </c>
      <c r="V23" s="60" t="s">
        <v>1796</v>
      </c>
      <c r="W23" s="60" t="s">
        <v>1870</v>
      </c>
      <c r="X23" s="62" t="s">
        <v>1932</v>
      </c>
      <c r="Y23" s="60"/>
    </row>
    <row r="24" spans="1:25" ht="13.2">
      <c r="A24" s="27" t="s">
        <v>1739</v>
      </c>
      <c r="B24" s="28" t="s">
        <v>1768</v>
      </c>
      <c r="C24" s="28" t="s">
        <v>1782</v>
      </c>
      <c r="D24" s="30" t="s">
        <v>1792</v>
      </c>
      <c r="F24"/>
      <c r="H24" s="38" t="s">
        <v>1758</v>
      </c>
      <c r="I24" s="37" t="s">
        <v>1793</v>
      </c>
      <c r="J24" s="25"/>
      <c r="K24" s="24" t="s">
        <v>1768</v>
      </c>
      <c r="L24" s="24" t="s">
        <v>1794</v>
      </c>
      <c r="M24" s="26"/>
      <c r="N24" s="24" t="s">
        <v>1782</v>
      </c>
      <c r="O24" s="24" t="s">
        <v>1792</v>
      </c>
      <c r="S24" s="61"/>
      <c r="T24" s="60" t="s">
        <v>2052</v>
      </c>
      <c r="U24" s="60" t="s">
        <v>1758</v>
      </c>
      <c r="V24" s="60" t="s">
        <v>1790</v>
      </c>
      <c r="W24" s="60" t="s">
        <v>1847</v>
      </c>
      <c r="X24" s="62" t="s">
        <v>1932</v>
      </c>
      <c r="Y24" s="60"/>
    </row>
    <row r="25" spans="1:25" ht="11.25" customHeight="1">
      <c r="A25" s="27" t="s">
        <v>1739</v>
      </c>
      <c r="B25" s="28" t="s">
        <v>1768</v>
      </c>
      <c r="C25" s="28" t="s">
        <v>1782</v>
      </c>
      <c r="D25" s="30" t="s">
        <v>1795</v>
      </c>
      <c r="F25"/>
      <c r="H25" s="38" t="s">
        <v>1758</v>
      </c>
      <c r="I25" s="37" t="s">
        <v>1796</v>
      </c>
      <c r="J25" s="25"/>
      <c r="K25" s="24" t="s">
        <v>1770</v>
      </c>
      <c r="L25" s="24" t="s">
        <v>1797</v>
      </c>
      <c r="M25" s="26"/>
      <c r="N25" s="24" t="s">
        <v>1782</v>
      </c>
      <c r="O25" s="24" t="s">
        <v>1795</v>
      </c>
      <c r="S25" s="61"/>
      <c r="T25" s="60" t="s">
        <v>1940</v>
      </c>
      <c r="U25" s="60" t="s">
        <v>1758</v>
      </c>
      <c r="V25" s="60" t="s">
        <v>1796</v>
      </c>
      <c r="W25" s="60" t="s">
        <v>1870</v>
      </c>
      <c r="X25" s="62" t="s">
        <v>1932</v>
      </c>
      <c r="Y25" s="60"/>
    </row>
    <row r="26" spans="1:25" ht="11.25" customHeight="1">
      <c r="A26" s="27" t="s">
        <v>1739</v>
      </c>
      <c r="B26" s="28" t="s">
        <v>1768</v>
      </c>
      <c r="C26" s="28" t="s">
        <v>1782</v>
      </c>
      <c r="D26" s="30" t="s">
        <v>1798</v>
      </c>
      <c r="F26"/>
      <c r="H26" s="38" t="s">
        <v>1758</v>
      </c>
      <c r="I26" s="37" t="s">
        <v>1799</v>
      </c>
      <c r="J26" s="25"/>
      <c r="K26" s="24" t="s">
        <v>1770</v>
      </c>
      <c r="L26" s="24" t="s">
        <v>1800</v>
      </c>
      <c r="M26" s="26"/>
      <c r="N26" s="24" t="s">
        <v>1782</v>
      </c>
      <c r="O26" s="24" t="s">
        <v>1798</v>
      </c>
      <c r="S26" s="61"/>
      <c r="T26" s="60" t="s">
        <v>2046</v>
      </c>
      <c r="U26" s="60" t="s">
        <v>1758</v>
      </c>
      <c r="V26" s="60" t="s">
        <v>1790</v>
      </c>
      <c r="W26" s="60" t="s">
        <v>1847</v>
      </c>
      <c r="X26" s="62" t="s">
        <v>1932</v>
      </c>
      <c r="Y26" s="60"/>
    </row>
    <row r="27" spans="1:25" ht="11.25" customHeight="1">
      <c r="A27" s="27" t="s">
        <v>1739</v>
      </c>
      <c r="B27" s="28" t="s">
        <v>1768</v>
      </c>
      <c r="C27" s="28" t="s">
        <v>1782</v>
      </c>
      <c r="D27" s="30" t="s">
        <v>1801</v>
      </c>
      <c r="F27"/>
      <c r="H27" s="38" t="s">
        <v>1760</v>
      </c>
      <c r="I27" s="37"/>
      <c r="J27" s="25"/>
      <c r="K27" s="24" t="s">
        <v>1770</v>
      </c>
      <c r="L27" s="24" t="s">
        <v>1802</v>
      </c>
      <c r="M27" s="26"/>
      <c r="N27" s="24" t="s">
        <v>1782</v>
      </c>
      <c r="O27" s="24" t="s">
        <v>1801</v>
      </c>
      <c r="S27" s="61"/>
      <c r="T27" s="60" t="s">
        <v>1938</v>
      </c>
      <c r="U27" s="60" t="s">
        <v>1758</v>
      </c>
      <c r="V27" s="60" t="s">
        <v>1790</v>
      </c>
      <c r="W27" s="60" t="s">
        <v>1847</v>
      </c>
      <c r="X27" s="62" t="s">
        <v>1932</v>
      </c>
      <c r="Y27" s="60"/>
    </row>
    <row r="28" spans="1:25" ht="11.25" customHeight="1">
      <c r="A28" s="27" t="s">
        <v>1739</v>
      </c>
      <c r="B28" s="28" t="s">
        <v>1768</v>
      </c>
      <c r="C28" s="31" t="s">
        <v>1782</v>
      </c>
      <c r="D28" s="30" t="s">
        <v>1789</v>
      </c>
      <c r="F28"/>
      <c r="H28" s="38" t="s">
        <v>1762</v>
      </c>
      <c r="I28" s="37" t="s">
        <v>1803</v>
      </c>
      <c r="J28" s="25"/>
      <c r="K28" s="24" t="s">
        <v>1770</v>
      </c>
      <c r="L28" s="24" t="s">
        <v>1804</v>
      </c>
      <c r="M28" s="26"/>
      <c r="N28" s="24" t="s">
        <v>1782</v>
      </c>
      <c r="O28" s="24" t="s">
        <v>1789</v>
      </c>
      <c r="S28" s="61"/>
      <c r="T28" s="60" t="s">
        <v>1943</v>
      </c>
      <c r="U28" s="60" t="s">
        <v>1758</v>
      </c>
      <c r="V28" s="60" t="s">
        <v>1790</v>
      </c>
      <c r="W28" s="60" t="s">
        <v>1847</v>
      </c>
      <c r="X28" s="62" t="s">
        <v>1932</v>
      </c>
      <c r="Y28" s="60"/>
    </row>
    <row r="29" spans="1:25" ht="11.25" customHeight="1">
      <c r="A29" s="27" t="s">
        <v>1739</v>
      </c>
      <c r="B29" s="28" t="s">
        <v>1768</v>
      </c>
      <c r="C29" s="28" t="s">
        <v>1785</v>
      </c>
      <c r="D29" s="30" t="s">
        <v>1805</v>
      </c>
      <c r="F29"/>
      <c r="H29" s="38" t="s">
        <v>1762</v>
      </c>
      <c r="I29" s="37" t="s">
        <v>1806</v>
      </c>
      <c r="J29" s="25"/>
      <c r="K29" s="24" t="s">
        <v>1770</v>
      </c>
      <c r="L29" s="24" t="s">
        <v>1807</v>
      </c>
      <c r="M29" s="26"/>
      <c r="N29" s="24" t="s">
        <v>1785</v>
      </c>
      <c r="O29" s="24" t="s">
        <v>1805</v>
      </c>
      <c r="S29" s="61"/>
      <c r="T29" s="60" t="s">
        <v>2046</v>
      </c>
      <c r="U29" s="60" t="s">
        <v>1758</v>
      </c>
      <c r="V29" s="60" t="s">
        <v>1790</v>
      </c>
      <c r="W29" s="60" t="s">
        <v>1847</v>
      </c>
      <c r="X29" s="62" t="s">
        <v>1932</v>
      </c>
      <c r="Y29" s="60"/>
    </row>
    <row r="30" spans="1:25" ht="11.25" customHeight="1">
      <c r="A30" s="27" t="s">
        <v>1739</v>
      </c>
      <c r="B30" s="28" t="s">
        <v>1768</v>
      </c>
      <c r="C30" s="28" t="s">
        <v>1785</v>
      </c>
      <c r="D30" s="30" t="s">
        <v>1808</v>
      </c>
      <c r="F30"/>
      <c r="H30" s="38" t="s">
        <v>1762</v>
      </c>
      <c r="I30" s="37" t="s">
        <v>1809</v>
      </c>
      <c r="J30" s="25"/>
      <c r="K30" s="24" t="s">
        <v>1772</v>
      </c>
      <c r="L30" s="24" t="s">
        <v>1810</v>
      </c>
      <c r="M30" s="26"/>
      <c r="N30" s="24" t="s">
        <v>1785</v>
      </c>
      <c r="O30" s="24" t="s">
        <v>1808</v>
      </c>
      <c r="S30" s="61"/>
      <c r="T30" s="60" t="s">
        <v>2053</v>
      </c>
      <c r="U30" s="60" t="s">
        <v>1758</v>
      </c>
      <c r="V30" s="60" t="s">
        <v>1790</v>
      </c>
      <c r="W30" s="60" t="s">
        <v>1847</v>
      </c>
      <c r="X30" s="60" t="s">
        <v>1891</v>
      </c>
      <c r="Y30" s="60"/>
    </row>
    <row r="31" spans="1:25" ht="11.25" customHeight="1">
      <c r="A31" s="27" t="s">
        <v>1739</v>
      </c>
      <c r="B31" s="28" t="s">
        <v>1768</v>
      </c>
      <c r="C31" s="28" t="s">
        <v>1785</v>
      </c>
      <c r="D31" s="30" t="s">
        <v>1811</v>
      </c>
      <c r="F31"/>
      <c r="H31" s="38" t="s">
        <v>1762</v>
      </c>
      <c r="I31" s="37" t="s">
        <v>1812</v>
      </c>
      <c r="J31" s="25"/>
      <c r="K31" s="24" t="s">
        <v>1772</v>
      </c>
      <c r="L31" s="24" t="s">
        <v>1813</v>
      </c>
      <c r="M31" s="26"/>
      <c r="N31" s="24" t="s">
        <v>1785</v>
      </c>
      <c r="O31" s="24" t="s">
        <v>1811</v>
      </c>
      <c r="S31" s="61"/>
      <c r="T31" s="60" t="s">
        <v>2054</v>
      </c>
      <c r="U31" s="60" t="s">
        <v>1758</v>
      </c>
      <c r="V31" s="60" t="s">
        <v>1790</v>
      </c>
      <c r="W31" s="60" t="s">
        <v>1847</v>
      </c>
      <c r="X31" s="62" t="s">
        <v>1932</v>
      </c>
      <c r="Y31" s="60"/>
    </row>
    <row r="32" spans="1:25" ht="11.25" customHeight="1">
      <c r="A32" s="27" t="s">
        <v>1739</v>
      </c>
      <c r="B32" s="28" t="s">
        <v>1768</v>
      </c>
      <c r="C32" s="28" t="s">
        <v>1785</v>
      </c>
      <c r="D32" s="30" t="s">
        <v>1814</v>
      </c>
      <c r="F32"/>
      <c r="H32" s="38" t="s">
        <v>1762</v>
      </c>
      <c r="I32" s="37" t="s">
        <v>1815</v>
      </c>
      <c r="J32" s="25"/>
      <c r="K32" s="24" t="s">
        <v>1772</v>
      </c>
      <c r="L32" s="24" t="s">
        <v>1816</v>
      </c>
      <c r="M32" s="26"/>
      <c r="N32" s="24" t="s">
        <v>1785</v>
      </c>
      <c r="O32" s="24" t="s">
        <v>1814</v>
      </c>
      <c r="S32" s="61"/>
      <c r="T32" s="60" t="s">
        <v>2046</v>
      </c>
      <c r="U32" s="60" t="s">
        <v>1758</v>
      </c>
      <c r="V32" s="60" t="s">
        <v>1790</v>
      </c>
      <c r="W32" s="60" t="s">
        <v>1847</v>
      </c>
      <c r="X32" s="62" t="s">
        <v>1932</v>
      </c>
      <c r="Y32" s="60"/>
    </row>
    <row r="33" spans="1:25" ht="11.25" customHeight="1">
      <c r="A33" s="27" t="s">
        <v>1739</v>
      </c>
      <c r="B33" s="28" t="s">
        <v>1768</v>
      </c>
      <c r="C33" s="31" t="s">
        <v>1785</v>
      </c>
      <c r="D33" s="30" t="s">
        <v>1789</v>
      </c>
      <c r="F33"/>
      <c r="H33" s="38" t="s">
        <v>1765</v>
      </c>
      <c r="I33" s="37" t="s">
        <v>1817</v>
      </c>
      <c r="J33" s="25"/>
      <c r="K33" s="24" t="s">
        <v>1772</v>
      </c>
      <c r="L33" s="37" t="s">
        <v>1818</v>
      </c>
      <c r="M33" s="26"/>
      <c r="N33" s="24" t="s">
        <v>1785</v>
      </c>
      <c r="O33" s="24" t="s">
        <v>1789</v>
      </c>
      <c r="S33" s="61"/>
      <c r="T33" s="60" t="s">
        <v>1944</v>
      </c>
      <c r="U33" s="60" t="s">
        <v>1758</v>
      </c>
      <c r="V33" s="60" t="s">
        <v>1790</v>
      </c>
      <c r="W33" s="60" t="s">
        <v>1847</v>
      </c>
      <c r="X33" s="62" t="s">
        <v>1932</v>
      </c>
      <c r="Y33" s="60"/>
    </row>
    <row r="34" spans="1:25" ht="11.25" customHeight="1">
      <c r="A34" s="27" t="s">
        <v>1739</v>
      </c>
      <c r="B34" s="28" t="s">
        <v>1768</v>
      </c>
      <c r="C34" s="29" t="s">
        <v>1788</v>
      </c>
      <c r="D34" s="30"/>
      <c r="F34"/>
      <c r="H34" s="38" t="s">
        <v>1765</v>
      </c>
      <c r="I34" s="37" t="s">
        <v>1819</v>
      </c>
      <c r="J34" s="25"/>
      <c r="K34" s="24" t="s">
        <v>1772</v>
      </c>
      <c r="L34" s="37" t="s">
        <v>1820</v>
      </c>
      <c r="M34" s="26"/>
      <c r="N34" s="24" t="s">
        <v>1788</v>
      </c>
      <c r="O34" s="24"/>
      <c r="S34" s="61"/>
      <c r="T34" s="60" t="s">
        <v>1945</v>
      </c>
      <c r="U34" s="60" t="s">
        <v>1739</v>
      </c>
      <c r="V34" s="60" t="s">
        <v>1772</v>
      </c>
      <c r="W34" s="60" t="s">
        <v>1813</v>
      </c>
      <c r="X34" s="62" t="s">
        <v>1932</v>
      </c>
      <c r="Y34" s="60"/>
    </row>
    <row r="35" spans="1:25" ht="11.25" customHeight="1">
      <c r="A35" s="27" t="s">
        <v>1739</v>
      </c>
      <c r="B35" s="28" t="s">
        <v>1768</v>
      </c>
      <c r="C35" s="28" t="s">
        <v>1791</v>
      </c>
      <c r="D35" s="30" t="s">
        <v>1821</v>
      </c>
      <c r="F35"/>
      <c r="H35" s="38" t="s">
        <v>1765</v>
      </c>
      <c r="I35" s="37" t="s">
        <v>1822</v>
      </c>
      <c r="J35" s="25"/>
      <c r="K35" s="37" t="s">
        <v>1775</v>
      </c>
      <c r="L35" s="37" t="s">
        <v>1823</v>
      </c>
      <c r="M35" s="26"/>
      <c r="N35" s="24" t="s">
        <v>1791</v>
      </c>
      <c r="O35" s="24" t="s">
        <v>1821</v>
      </c>
      <c r="S35" s="61"/>
      <c r="T35" s="60" t="s">
        <v>2055</v>
      </c>
      <c r="U35" s="60" t="s">
        <v>1758</v>
      </c>
      <c r="V35" s="60" t="s">
        <v>1796</v>
      </c>
      <c r="W35" s="60" t="s">
        <v>1870</v>
      </c>
      <c r="X35" s="62" t="s">
        <v>1932</v>
      </c>
      <c r="Y35" s="60"/>
    </row>
    <row r="36" spans="1:25" ht="11.25" customHeight="1">
      <c r="A36" s="27" t="s">
        <v>1739</v>
      </c>
      <c r="B36" s="28" t="s">
        <v>1768</v>
      </c>
      <c r="C36" s="28" t="s">
        <v>1791</v>
      </c>
      <c r="D36" s="30" t="s">
        <v>1824</v>
      </c>
      <c r="F36"/>
      <c r="H36" s="38" t="s">
        <v>1765</v>
      </c>
      <c r="I36" s="37" t="s">
        <v>1825</v>
      </c>
      <c r="J36" s="25"/>
      <c r="K36" s="37" t="s">
        <v>1775</v>
      </c>
      <c r="L36" s="37" t="s">
        <v>1826</v>
      </c>
      <c r="M36" s="26"/>
      <c r="N36" s="24" t="s">
        <v>1791</v>
      </c>
      <c r="O36" s="24" t="s">
        <v>1824</v>
      </c>
      <c r="S36" s="61"/>
      <c r="T36" s="60" t="s">
        <v>2046</v>
      </c>
      <c r="U36" s="60" t="s">
        <v>1758</v>
      </c>
      <c r="V36" s="60" t="s">
        <v>1790</v>
      </c>
      <c r="W36" s="60" t="s">
        <v>1847</v>
      </c>
      <c r="X36" s="62" t="s">
        <v>1932</v>
      </c>
      <c r="Y36" s="60"/>
    </row>
    <row r="37" spans="1:25" ht="11.25" customHeight="1">
      <c r="A37" s="27" t="s">
        <v>1739</v>
      </c>
      <c r="B37" s="28" t="s">
        <v>1768</v>
      </c>
      <c r="C37" s="28" t="s">
        <v>1791</v>
      </c>
      <c r="D37" s="30" t="s">
        <v>1827</v>
      </c>
      <c r="F37"/>
      <c r="H37" s="38" t="s">
        <v>1767</v>
      </c>
      <c r="I37" s="37"/>
      <c r="J37" s="25"/>
      <c r="K37" s="37" t="s">
        <v>1775</v>
      </c>
      <c r="L37" s="37" t="s">
        <v>1828</v>
      </c>
      <c r="M37" s="26"/>
      <c r="N37" s="24" t="s">
        <v>1791</v>
      </c>
      <c r="O37" s="24" t="s">
        <v>1827</v>
      </c>
      <c r="S37" s="61"/>
      <c r="T37" s="60" t="s">
        <v>2046</v>
      </c>
      <c r="U37" s="60" t="s">
        <v>1758</v>
      </c>
      <c r="V37" s="60" t="s">
        <v>1790</v>
      </c>
      <c r="W37" s="60" t="s">
        <v>1847</v>
      </c>
      <c r="X37" s="62" t="s">
        <v>1932</v>
      </c>
      <c r="Y37" s="60"/>
    </row>
    <row r="38" spans="1:25" ht="11.25" customHeight="1">
      <c r="A38" s="27" t="s">
        <v>1739</v>
      </c>
      <c r="B38" s="28" t="s">
        <v>1768</v>
      </c>
      <c r="C38" s="31" t="s">
        <v>1791</v>
      </c>
      <c r="D38" s="30" t="s">
        <v>1789</v>
      </c>
      <c r="F38"/>
      <c r="H38" s="39"/>
      <c r="I38" s="39"/>
      <c r="J38" s="25"/>
      <c r="K38" s="37" t="s">
        <v>1776</v>
      </c>
      <c r="L38" s="37" t="s">
        <v>1829</v>
      </c>
      <c r="M38" s="26"/>
      <c r="N38" s="24" t="s">
        <v>1791</v>
      </c>
      <c r="O38" s="24" t="s">
        <v>1789</v>
      </c>
      <c r="S38" s="61"/>
      <c r="T38" s="60" t="s">
        <v>1940</v>
      </c>
      <c r="U38" s="60" t="s">
        <v>1758</v>
      </c>
      <c r="V38" s="60" t="s">
        <v>1796</v>
      </c>
      <c r="W38" s="60" t="s">
        <v>1870</v>
      </c>
      <c r="X38" s="62" t="s">
        <v>1932</v>
      </c>
      <c r="Y38" s="60"/>
    </row>
    <row r="39" spans="1:25" ht="11.25" customHeight="1">
      <c r="A39" s="27" t="s">
        <v>1739</v>
      </c>
      <c r="B39" s="31" t="s">
        <v>1768</v>
      </c>
      <c r="C39" s="29" t="s">
        <v>1794</v>
      </c>
      <c r="D39" s="30"/>
      <c r="F39"/>
      <c r="H39" s="39"/>
      <c r="I39" s="39"/>
      <c r="J39" s="25"/>
      <c r="K39" s="37" t="s">
        <v>1776</v>
      </c>
      <c r="L39" s="37" t="s">
        <v>1830</v>
      </c>
      <c r="M39" s="26"/>
      <c r="N39" s="24" t="s">
        <v>1794</v>
      </c>
      <c r="O39" s="24"/>
      <c r="S39" s="61"/>
      <c r="T39" s="60" t="s">
        <v>1946</v>
      </c>
      <c r="U39" s="60" t="s">
        <v>1739</v>
      </c>
      <c r="V39" s="60" t="s">
        <v>1776</v>
      </c>
      <c r="W39" s="60" t="s">
        <v>1830</v>
      </c>
      <c r="X39" s="62" t="s">
        <v>1932</v>
      </c>
      <c r="Y39" s="60"/>
    </row>
    <row r="40" spans="1:25" ht="11.25" customHeight="1">
      <c r="A40" s="27" t="s">
        <v>1739</v>
      </c>
      <c r="B40" s="28" t="s">
        <v>1770</v>
      </c>
      <c r="C40" s="28" t="s">
        <v>1797</v>
      </c>
      <c r="D40" s="30" t="s">
        <v>1831</v>
      </c>
      <c r="F40"/>
      <c r="H40" s="39"/>
      <c r="I40" s="39"/>
      <c r="J40" s="25"/>
      <c r="K40" s="37" t="s">
        <v>1778</v>
      </c>
      <c r="L40" s="37" t="s">
        <v>1832</v>
      </c>
      <c r="M40" s="26"/>
      <c r="N40" s="24" t="s">
        <v>1797</v>
      </c>
      <c r="O40" s="24" t="s">
        <v>1831</v>
      </c>
      <c r="S40" s="61"/>
      <c r="T40" s="60" t="s">
        <v>1947</v>
      </c>
      <c r="U40" s="60" t="s">
        <v>1739</v>
      </c>
      <c r="V40" s="60" t="s">
        <v>1772</v>
      </c>
      <c r="W40" s="60" t="s">
        <v>1813</v>
      </c>
      <c r="X40" s="62" t="s">
        <v>1932</v>
      </c>
      <c r="Y40" s="60"/>
    </row>
    <row r="41" spans="1:25" ht="11.25" customHeight="1">
      <c r="A41" s="27" t="s">
        <v>1739</v>
      </c>
      <c r="B41" s="28" t="s">
        <v>1770</v>
      </c>
      <c r="C41" s="28" t="s">
        <v>1797</v>
      </c>
      <c r="D41" s="30" t="s">
        <v>1833</v>
      </c>
      <c r="F41"/>
      <c r="H41" s="39"/>
      <c r="I41" s="39"/>
      <c r="J41" s="25"/>
      <c r="K41" s="37" t="s">
        <v>1778</v>
      </c>
      <c r="L41" s="37" t="s">
        <v>1834</v>
      </c>
      <c r="M41" s="26"/>
      <c r="N41" s="24" t="s">
        <v>1797</v>
      </c>
      <c r="O41" s="24" t="s">
        <v>1833</v>
      </c>
      <c r="S41" s="61"/>
      <c r="T41" s="60" t="s">
        <v>2049</v>
      </c>
      <c r="U41" s="60" t="s">
        <v>1758</v>
      </c>
      <c r="V41" s="60" t="s">
        <v>1790</v>
      </c>
      <c r="W41" s="60" t="s">
        <v>1847</v>
      </c>
      <c r="X41" s="62" t="s">
        <v>1932</v>
      </c>
      <c r="Y41" s="60"/>
    </row>
    <row r="42" spans="1:25" ht="11.25" customHeight="1">
      <c r="A42" s="27" t="s">
        <v>1739</v>
      </c>
      <c r="B42" s="28" t="s">
        <v>1770</v>
      </c>
      <c r="C42" s="31" t="s">
        <v>1797</v>
      </c>
      <c r="D42" s="30" t="s">
        <v>1789</v>
      </c>
      <c r="F42"/>
      <c r="H42" s="39"/>
      <c r="I42" s="39"/>
      <c r="J42" s="25"/>
      <c r="K42" s="37" t="s">
        <v>1781</v>
      </c>
      <c r="L42" s="37" t="s">
        <v>1835</v>
      </c>
      <c r="M42" s="26"/>
      <c r="N42" s="24" t="s">
        <v>1797</v>
      </c>
      <c r="O42" s="24" t="s">
        <v>1789</v>
      </c>
      <c r="S42" s="61"/>
      <c r="T42" s="60" t="s">
        <v>1938</v>
      </c>
      <c r="U42" s="60" t="s">
        <v>1758</v>
      </c>
      <c r="V42" s="60" t="s">
        <v>1790</v>
      </c>
      <c r="W42" s="60" t="s">
        <v>1847</v>
      </c>
      <c r="X42" s="62" t="s">
        <v>1932</v>
      </c>
      <c r="Y42" s="60"/>
    </row>
    <row r="43" spans="1:25" ht="11.25" customHeight="1">
      <c r="A43" s="27" t="s">
        <v>1739</v>
      </c>
      <c r="B43" s="28" t="s">
        <v>1770</v>
      </c>
      <c r="C43" s="29" t="s">
        <v>1800</v>
      </c>
      <c r="D43" s="30"/>
      <c r="F43"/>
      <c r="H43" s="39"/>
      <c r="I43" s="39"/>
      <c r="J43" s="25"/>
      <c r="K43" s="37" t="s">
        <v>1781</v>
      </c>
      <c r="L43" s="37" t="s">
        <v>1836</v>
      </c>
      <c r="M43" s="26"/>
      <c r="N43" s="24" t="s">
        <v>1800</v>
      </c>
      <c r="O43" s="24"/>
      <c r="S43" s="61"/>
      <c r="T43" s="60" t="s">
        <v>2047</v>
      </c>
      <c r="U43" s="60" t="s">
        <v>1758</v>
      </c>
      <c r="V43" s="60" t="s">
        <v>1790</v>
      </c>
      <c r="W43" s="60" t="s">
        <v>1847</v>
      </c>
      <c r="X43" s="60" t="s">
        <v>1893</v>
      </c>
      <c r="Y43" s="60"/>
    </row>
    <row r="44" spans="1:25" ht="11.25" customHeight="1">
      <c r="A44" s="27" t="s">
        <v>1739</v>
      </c>
      <c r="B44" s="28" t="s">
        <v>1770</v>
      </c>
      <c r="C44" s="29" t="s">
        <v>1802</v>
      </c>
      <c r="D44" s="30"/>
      <c r="F44"/>
      <c r="H44" s="39"/>
      <c r="I44" s="39"/>
      <c r="J44" s="25"/>
      <c r="K44" s="37" t="s">
        <v>1784</v>
      </c>
      <c r="L44" s="37" t="s">
        <v>1837</v>
      </c>
      <c r="M44" s="26"/>
      <c r="N44" s="24" t="s">
        <v>1802</v>
      </c>
      <c r="O44" s="24"/>
      <c r="S44" s="61"/>
      <c r="T44" s="60" t="s">
        <v>1938</v>
      </c>
      <c r="U44" s="60" t="s">
        <v>1758</v>
      </c>
      <c r="V44" s="60" t="s">
        <v>1790</v>
      </c>
      <c r="W44" s="60" t="s">
        <v>1847</v>
      </c>
      <c r="X44" s="62" t="s">
        <v>1932</v>
      </c>
      <c r="Y44" s="60"/>
    </row>
    <row r="45" spans="1:25" ht="11.25" customHeight="1">
      <c r="A45" s="27" t="s">
        <v>1739</v>
      </c>
      <c r="B45" s="28" t="s">
        <v>1770</v>
      </c>
      <c r="C45" s="29" t="s">
        <v>1804</v>
      </c>
      <c r="D45" s="30"/>
      <c r="F45"/>
      <c r="H45" s="39"/>
      <c r="I45" s="39"/>
      <c r="J45" s="25"/>
      <c r="K45" s="37" t="s">
        <v>1784</v>
      </c>
      <c r="L45" s="37" t="s">
        <v>1838</v>
      </c>
      <c r="M45" s="26"/>
      <c r="N45" s="24" t="s">
        <v>1804</v>
      </c>
      <c r="O45" s="24"/>
      <c r="S45" s="61"/>
      <c r="T45" s="60" t="s">
        <v>1938</v>
      </c>
      <c r="U45" s="60" t="s">
        <v>1758</v>
      </c>
      <c r="V45" s="60" t="s">
        <v>1790</v>
      </c>
      <c r="W45" s="60" t="s">
        <v>1847</v>
      </c>
      <c r="X45" s="62" t="s">
        <v>1932</v>
      </c>
      <c r="Y45" s="60"/>
    </row>
    <row r="46" spans="1:25" ht="11.25" customHeight="1">
      <c r="A46" s="27" t="s">
        <v>1739</v>
      </c>
      <c r="B46" s="28" t="s">
        <v>1770</v>
      </c>
      <c r="C46" s="29" t="s">
        <v>1807</v>
      </c>
      <c r="D46" s="30"/>
      <c r="F46"/>
      <c r="H46" s="39"/>
      <c r="I46" s="39"/>
      <c r="J46" s="25"/>
      <c r="K46" s="37" t="s">
        <v>1784</v>
      </c>
      <c r="L46" s="37" t="s">
        <v>1839</v>
      </c>
      <c r="M46" s="26"/>
      <c r="N46" s="24" t="s">
        <v>1807</v>
      </c>
      <c r="O46" s="24"/>
      <c r="S46" s="61"/>
      <c r="T46" s="60" t="s">
        <v>1944</v>
      </c>
      <c r="U46" s="60" t="s">
        <v>1758</v>
      </c>
      <c r="V46" s="60" t="s">
        <v>1790</v>
      </c>
      <c r="W46" s="60" t="s">
        <v>1847</v>
      </c>
      <c r="X46" s="62" t="s">
        <v>1932</v>
      </c>
      <c r="Y46" s="60"/>
    </row>
    <row r="47" spans="1:25" ht="11.25" customHeight="1">
      <c r="A47" s="27" t="s">
        <v>1739</v>
      </c>
      <c r="B47" s="28" t="s">
        <v>1772</v>
      </c>
      <c r="C47" s="28" t="s">
        <v>1810</v>
      </c>
      <c r="D47" s="30" t="s">
        <v>1840</v>
      </c>
      <c r="F47"/>
      <c r="H47" s="39"/>
      <c r="I47" s="39"/>
      <c r="J47" s="25"/>
      <c r="K47" s="37" t="s">
        <v>1787</v>
      </c>
      <c r="L47" s="37" t="s">
        <v>1841</v>
      </c>
      <c r="M47" s="26"/>
      <c r="N47" s="24" t="s">
        <v>1810</v>
      </c>
      <c r="O47" s="24" t="s">
        <v>1840</v>
      </c>
      <c r="S47" s="61"/>
      <c r="T47" s="60" t="s">
        <v>2052</v>
      </c>
      <c r="U47" s="60" t="s">
        <v>1758</v>
      </c>
      <c r="V47" s="60" t="s">
        <v>1790</v>
      </c>
      <c r="W47" s="60" t="s">
        <v>1847</v>
      </c>
      <c r="X47" s="62" t="s">
        <v>1932</v>
      </c>
      <c r="Y47" s="60"/>
    </row>
    <row r="48" spans="1:25" ht="11.25" customHeight="1">
      <c r="A48" s="27" t="s">
        <v>1739</v>
      </c>
      <c r="B48" s="28" t="s">
        <v>1772</v>
      </c>
      <c r="C48" s="28" t="s">
        <v>1810</v>
      </c>
      <c r="D48" s="30" t="s">
        <v>1842</v>
      </c>
      <c r="F48"/>
      <c r="H48" s="39"/>
      <c r="I48" s="39"/>
      <c r="J48" s="25"/>
      <c r="K48" s="37" t="s">
        <v>1787</v>
      </c>
      <c r="L48" s="37" t="s">
        <v>1843</v>
      </c>
      <c r="M48" s="26"/>
      <c r="N48" s="24" t="s">
        <v>1810</v>
      </c>
      <c r="O48" s="24" t="s">
        <v>1842</v>
      </c>
      <c r="S48" s="61"/>
      <c r="T48" s="60" t="s">
        <v>1938</v>
      </c>
      <c r="U48" s="60" t="s">
        <v>1758</v>
      </c>
      <c r="V48" s="60" t="s">
        <v>1790</v>
      </c>
      <c r="W48" s="60" t="s">
        <v>1847</v>
      </c>
      <c r="X48" s="62" t="s">
        <v>1932</v>
      </c>
      <c r="Y48" s="60"/>
    </row>
    <row r="49" spans="1:25" ht="11.25" customHeight="1">
      <c r="A49" s="27" t="s">
        <v>1739</v>
      </c>
      <c r="B49" s="28" t="s">
        <v>1772</v>
      </c>
      <c r="C49" s="28" t="s">
        <v>1810</v>
      </c>
      <c r="D49" s="30" t="s">
        <v>1844</v>
      </c>
      <c r="F49"/>
      <c r="H49" s="39"/>
      <c r="I49" s="39"/>
      <c r="J49" s="25"/>
      <c r="K49" s="37" t="s">
        <v>1787</v>
      </c>
      <c r="L49" s="37" t="s">
        <v>1845</v>
      </c>
      <c r="M49" s="26"/>
      <c r="N49" s="24" t="s">
        <v>1810</v>
      </c>
      <c r="O49" s="24" t="s">
        <v>1844</v>
      </c>
      <c r="S49" s="61"/>
      <c r="T49" s="60" t="s">
        <v>2046</v>
      </c>
      <c r="U49" s="60" t="s">
        <v>1758</v>
      </c>
      <c r="V49" s="60" t="s">
        <v>1790</v>
      </c>
      <c r="W49" s="60" t="s">
        <v>1847</v>
      </c>
      <c r="X49" s="62" t="s">
        <v>1932</v>
      </c>
      <c r="Y49" s="60"/>
    </row>
    <row r="50" spans="1:25" ht="11.25" customHeight="1">
      <c r="A50" s="27" t="s">
        <v>1739</v>
      </c>
      <c r="B50" s="28" t="s">
        <v>1772</v>
      </c>
      <c r="C50" s="28" t="s">
        <v>1810</v>
      </c>
      <c r="D50" s="30" t="s">
        <v>1846</v>
      </c>
      <c r="F50"/>
      <c r="H50" s="39"/>
      <c r="I50" s="39"/>
      <c r="J50" s="25"/>
      <c r="K50" s="37" t="s">
        <v>1790</v>
      </c>
      <c r="L50" s="37" t="s">
        <v>1847</v>
      </c>
      <c r="M50" s="26"/>
      <c r="N50" s="24" t="s">
        <v>1810</v>
      </c>
      <c r="O50" s="24" t="s">
        <v>1846</v>
      </c>
      <c r="S50" s="61"/>
      <c r="T50" s="60" t="s">
        <v>1938</v>
      </c>
      <c r="U50" s="60" t="s">
        <v>1758</v>
      </c>
      <c r="V50" s="60" t="s">
        <v>1790</v>
      </c>
      <c r="W50" s="60" t="s">
        <v>1847</v>
      </c>
      <c r="X50" s="62" t="s">
        <v>1932</v>
      </c>
      <c r="Y50" s="60"/>
    </row>
    <row r="51" spans="1:25" ht="11.25" customHeight="1">
      <c r="A51" s="27" t="s">
        <v>1739</v>
      </c>
      <c r="B51" s="28" t="s">
        <v>1772</v>
      </c>
      <c r="C51" s="31" t="s">
        <v>1810</v>
      </c>
      <c r="D51" s="30" t="s">
        <v>1789</v>
      </c>
      <c r="F51"/>
      <c r="H51" s="39"/>
      <c r="I51" s="39"/>
      <c r="J51" s="25"/>
      <c r="K51" s="37" t="s">
        <v>1790</v>
      </c>
      <c r="L51" s="37" t="s">
        <v>1848</v>
      </c>
      <c r="M51" s="26"/>
      <c r="N51" s="24" t="s">
        <v>1810</v>
      </c>
      <c r="O51" s="24" t="s">
        <v>1789</v>
      </c>
      <c r="S51" s="61"/>
      <c r="T51" s="60" t="s">
        <v>1938</v>
      </c>
      <c r="U51" s="60" t="s">
        <v>1758</v>
      </c>
      <c r="V51" s="60" t="s">
        <v>1790</v>
      </c>
      <c r="W51" s="60" t="s">
        <v>1847</v>
      </c>
      <c r="X51" s="62" t="s">
        <v>1932</v>
      </c>
      <c r="Y51" s="60"/>
    </row>
    <row r="52" spans="1:25" ht="11.25" customHeight="1">
      <c r="A52" s="27" t="s">
        <v>1739</v>
      </c>
      <c r="B52" s="28" t="s">
        <v>1772</v>
      </c>
      <c r="C52" s="28" t="s">
        <v>1813</v>
      </c>
      <c r="D52" s="30" t="s">
        <v>1849</v>
      </c>
      <c r="F52"/>
      <c r="H52" s="39"/>
      <c r="I52" s="39"/>
      <c r="J52" s="25"/>
      <c r="K52" s="37" t="s">
        <v>1793</v>
      </c>
      <c r="L52" s="37" t="s">
        <v>1850</v>
      </c>
      <c r="M52" s="26"/>
      <c r="N52" s="24" t="s">
        <v>1813</v>
      </c>
      <c r="O52" s="24" t="s">
        <v>1849</v>
      </c>
      <c r="S52" s="61"/>
      <c r="T52" s="60" t="s">
        <v>2046</v>
      </c>
      <c r="U52" s="60" t="s">
        <v>1758</v>
      </c>
      <c r="V52" s="60" t="s">
        <v>1790</v>
      </c>
      <c r="W52" s="60" t="s">
        <v>1847</v>
      </c>
      <c r="X52" s="62" t="s">
        <v>1932</v>
      </c>
      <c r="Y52" s="60"/>
    </row>
    <row r="53" spans="1:25" ht="13.2">
      <c r="A53" s="27" t="s">
        <v>1739</v>
      </c>
      <c r="B53" s="28" t="s">
        <v>1772</v>
      </c>
      <c r="C53" s="28" t="s">
        <v>1813</v>
      </c>
      <c r="D53" s="30" t="s">
        <v>1851</v>
      </c>
      <c r="F53"/>
      <c r="H53" s="39"/>
      <c r="I53" s="39"/>
      <c r="J53" s="25"/>
      <c r="K53" s="37" t="s">
        <v>1793</v>
      </c>
      <c r="L53" s="37" t="s">
        <v>1852</v>
      </c>
      <c r="M53" s="26"/>
      <c r="N53" s="24" t="s">
        <v>1813</v>
      </c>
      <c r="O53" s="24" t="s">
        <v>1851</v>
      </c>
      <c r="S53" s="61"/>
      <c r="T53" s="60" t="s">
        <v>2047</v>
      </c>
      <c r="U53" s="60" t="s">
        <v>1758</v>
      </c>
      <c r="V53" s="60" t="s">
        <v>1793</v>
      </c>
      <c r="W53" s="60" t="s">
        <v>1855</v>
      </c>
      <c r="X53" s="62" t="s">
        <v>1932</v>
      </c>
      <c r="Y53" s="60"/>
    </row>
    <row r="54" spans="1:25" ht="13.2">
      <c r="A54" s="27" t="s">
        <v>1739</v>
      </c>
      <c r="B54" s="28" t="s">
        <v>1772</v>
      </c>
      <c r="C54" s="28" t="s">
        <v>1813</v>
      </c>
      <c r="D54" s="30" t="s">
        <v>1853</v>
      </c>
      <c r="F54"/>
      <c r="H54" s="39"/>
      <c r="I54" s="39"/>
      <c r="J54" s="25"/>
      <c r="K54" s="37" t="s">
        <v>1793</v>
      </c>
      <c r="L54" s="37" t="s">
        <v>1854</v>
      </c>
      <c r="M54" s="26"/>
      <c r="N54" s="24" t="s">
        <v>1813</v>
      </c>
      <c r="O54" s="24" t="s">
        <v>1853</v>
      </c>
      <c r="S54" s="61"/>
      <c r="T54" s="60" t="s">
        <v>1948</v>
      </c>
      <c r="U54" s="60" t="s">
        <v>1739</v>
      </c>
      <c r="V54" s="60" t="s">
        <v>1768</v>
      </c>
      <c r="W54" s="60" t="s">
        <v>1788</v>
      </c>
      <c r="X54" s="62" t="s">
        <v>1932</v>
      </c>
      <c r="Y54" s="60"/>
    </row>
    <row r="55" spans="1:25" ht="21">
      <c r="A55" s="27" t="s">
        <v>1739</v>
      </c>
      <c r="B55" s="28" t="s">
        <v>1772</v>
      </c>
      <c r="C55" s="31" t="s">
        <v>1813</v>
      </c>
      <c r="D55" s="30" t="s">
        <v>1789</v>
      </c>
      <c r="F55"/>
      <c r="H55" s="39"/>
      <c r="I55" s="39"/>
      <c r="J55" s="25"/>
      <c r="K55" s="37" t="s">
        <v>1793</v>
      </c>
      <c r="L55" s="37" t="s">
        <v>1855</v>
      </c>
      <c r="M55" s="26"/>
      <c r="N55" s="24" t="s">
        <v>1813</v>
      </c>
      <c r="O55" s="24" t="s">
        <v>1789</v>
      </c>
      <c r="S55" s="61"/>
      <c r="T55" s="60" t="s">
        <v>2056</v>
      </c>
      <c r="U55" s="60" t="s">
        <v>1758</v>
      </c>
      <c r="V55" s="60" t="s">
        <v>1796</v>
      </c>
      <c r="W55" s="60" t="s">
        <v>1870</v>
      </c>
      <c r="X55" s="62" t="s">
        <v>1932</v>
      </c>
      <c r="Y55" s="60"/>
    </row>
    <row r="56" spans="1:25" ht="20.399999999999999">
      <c r="A56" s="27" t="s">
        <v>1739</v>
      </c>
      <c r="B56" s="28" t="s">
        <v>1772</v>
      </c>
      <c r="C56" s="28" t="s">
        <v>1816</v>
      </c>
      <c r="D56" s="30" t="s">
        <v>1856</v>
      </c>
      <c r="F56"/>
      <c r="H56" s="39"/>
      <c r="I56" s="39"/>
      <c r="J56" s="25"/>
      <c r="K56" s="37" t="s">
        <v>1793</v>
      </c>
      <c r="L56" s="37" t="s">
        <v>1857</v>
      </c>
      <c r="M56" s="26"/>
      <c r="N56" s="24" t="s">
        <v>1816</v>
      </c>
      <c r="O56" s="24" t="s">
        <v>1856</v>
      </c>
      <c r="S56" s="61"/>
      <c r="T56" s="60" t="s">
        <v>2046</v>
      </c>
      <c r="U56" s="60" t="s">
        <v>1758</v>
      </c>
      <c r="V56" s="60" t="s">
        <v>1790</v>
      </c>
      <c r="W56" s="60" t="s">
        <v>1847</v>
      </c>
      <c r="X56" s="62" t="s">
        <v>1932</v>
      </c>
      <c r="Y56" s="60"/>
    </row>
    <row r="57" spans="1:25" ht="21">
      <c r="A57" s="27" t="s">
        <v>1739</v>
      </c>
      <c r="B57" s="28" t="s">
        <v>1772</v>
      </c>
      <c r="C57" s="28" t="s">
        <v>1816</v>
      </c>
      <c r="D57" s="40" t="s">
        <v>1858</v>
      </c>
      <c r="F57"/>
      <c r="H57" s="39"/>
      <c r="I57" s="39"/>
      <c r="J57" s="25"/>
      <c r="K57" s="37" t="s">
        <v>1796</v>
      </c>
      <c r="L57" s="37" t="s">
        <v>1859</v>
      </c>
      <c r="M57" s="26"/>
      <c r="N57" s="24" t="s">
        <v>1816</v>
      </c>
      <c r="O57" s="37" t="s">
        <v>1858</v>
      </c>
      <c r="S57" s="61"/>
      <c r="T57" s="60" t="s">
        <v>2046</v>
      </c>
      <c r="U57" s="60" t="s">
        <v>1758</v>
      </c>
      <c r="V57" s="60" t="s">
        <v>1790</v>
      </c>
      <c r="W57" s="60" t="s">
        <v>1847</v>
      </c>
      <c r="X57" s="62" t="s">
        <v>1932</v>
      </c>
      <c r="Y57" s="60"/>
    </row>
    <row r="58" spans="1:25" ht="20.399999999999999">
      <c r="A58" s="27" t="s">
        <v>1739</v>
      </c>
      <c r="B58" s="28" t="s">
        <v>1772</v>
      </c>
      <c r="C58" s="28" t="s">
        <v>1816</v>
      </c>
      <c r="D58" s="40" t="s">
        <v>1860</v>
      </c>
      <c r="F58"/>
      <c r="H58" s="39"/>
      <c r="I58" s="39"/>
      <c r="J58" s="25"/>
      <c r="K58" s="37" t="s">
        <v>1796</v>
      </c>
      <c r="L58" s="37" t="s">
        <v>1861</v>
      </c>
      <c r="M58" s="26"/>
      <c r="N58" s="24" t="s">
        <v>1816</v>
      </c>
      <c r="O58" s="37" t="s">
        <v>1860</v>
      </c>
      <c r="S58" s="61"/>
      <c r="T58" s="60" t="s">
        <v>2048</v>
      </c>
      <c r="U58" s="60" t="s">
        <v>1739</v>
      </c>
      <c r="V58" s="60" t="s">
        <v>1781</v>
      </c>
      <c r="W58" s="60" t="s">
        <v>1836</v>
      </c>
      <c r="X58" s="62" t="s">
        <v>1932</v>
      </c>
      <c r="Y58" s="60"/>
    </row>
    <row r="59" spans="1:25" ht="20.399999999999999">
      <c r="A59" s="27" t="s">
        <v>1739</v>
      </c>
      <c r="B59" s="28" t="s">
        <v>1772</v>
      </c>
      <c r="C59" s="28" t="s">
        <v>1816</v>
      </c>
      <c r="D59" s="40" t="s">
        <v>1862</v>
      </c>
      <c r="F59"/>
      <c r="H59" s="39"/>
      <c r="I59" s="39"/>
      <c r="J59" s="25"/>
      <c r="K59" s="37" t="s">
        <v>1796</v>
      </c>
      <c r="L59" s="37" t="s">
        <v>1863</v>
      </c>
      <c r="M59" s="26"/>
      <c r="N59" s="24" t="s">
        <v>1816</v>
      </c>
      <c r="O59" s="37" t="s">
        <v>1862</v>
      </c>
      <c r="S59" s="61"/>
      <c r="T59" s="60" t="s">
        <v>2057</v>
      </c>
      <c r="U59" s="60" t="s">
        <v>1758</v>
      </c>
      <c r="V59" s="60" t="s">
        <v>1796</v>
      </c>
      <c r="W59" s="60" t="s">
        <v>1870</v>
      </c>
      <c r="X59" s="62" t="s">
        <v>1932</v>
      </c>
      <c r="Y59" s="60"/>
    </row>
    <row r="60" spans="1:25" ht="20.399999999999999">
      <c r="A60" s="27" t="s">
        <v>1739</v>
      </c>
      <c r="B60" s="28" t="s">
        <v>1772</v>
      </c>
      <c r="C60" s="31" t="s">
        <v>1816</v>
      </c>
      <c r="D60" s="40" t="s">
        <v>1789</v>
      </c>
      <c r="F60"/>
      <c r="H60" s="39"/>
      <c r="I60" s="39"/>
      <c r="J60" s="25"/>
      <c r="K60" s="37" t="s">
        <v>1796</v>
      </c>
      <c r="L60" s="37" t="s">
        <v>1864</v>
      </c>
      <c r="M60" s="26"/>
      <c r="N60" s="24" t="s">
        <v>1816</v>
      </c>
      <c r="O60" s="37" t="s">
        <v>1789</v>
      </c>
      <c r="S60" s="61"/>
      <c r="T60" s="60" t="s">
        <v>1949</v>
      </c>
      <c r="U60" s="60" t="s">
        <v>1739</v>
      </c>
      <c r="V60" s="60" t="s">
        <v>1787</v>
      </c>
      <c r="W60" s="60" t="s">
        <v>1841</v>
      </c>
      <c r="X60" s="62" t="s">
        <v>1932</v>
      </c>
      <c r="Y60" s="60"/>
    </row>
    <row r="61" spans="1:25" ht="13.2">
      <c r="A61" s="27" t="s">
        <v>1739</v>
      </c>
      <c r="B61" s="28" t="s">
        <v>1772</v>
      </c>
      <c r="C61" s="41" t="s">
        <v>1818</v>
      </c>
      <c r="D61" s="40" t="s">
        <v>1865</v>
      </c>
      <c r="F61"/>
      <c r="H61" s="39"/>
      <c r="I61" s="39"/>
      <c r="J61" s="25"/>
      <c r="K61" s="37" t="s">
        <v>1796</v>
      </c>
      <c r="L61" s="37" t="s">
        <v>1866</v>
      </c>
      <c r="M61" s="26"/>
      <c r="N61" s="37" t="s">
        <v>1818</v>
      </c>
      <c r="O61" s="37" t="s">
        <v>1865</v>
      </c>
      <c r="S61" s="61"/>
      <c r="T61" s="60" t="s">
        <v>2046</v>
      </c>
      <c r="U61" s="60" t="s">
        <v>1758</v>
      </c>
      <c r="V61" s="60" t="s">
        <v>1790</v>
      </c>
      <c r="W61" s="60" t="s">
        <v>1847</v>
      </c>
      <c r="X61" s="62" t="s">
        <v>1932</v>
      </c>
      <c r="Y61" s="60"/>
    </row>
    <row r="62" spans="1:25" ht="13.2">
      <c r="A62" s="27" t="s">
        <v>1739</v>
      </c>
      <c r="B62" s="28" t="s">
        <v>1772</v>
      </c>
      <c r="C62" s="41" t="s">
        <v>1818</v>
      </c>
      <c r="D62" s="40" t="s">
        <v>1867</v>
      </c>
      <c r="F62"/>
      <c r="H62" s="39"/>
      <c r="I62" s="39"/>
      <c r="J62" s="25"/>
      <c r="K62" s="37" t="s">
        <v>1796</v>
      </c>
      <c r="L62" s="37" t="s">
        <v>1868</v>
      </c>
      <c r="M62" s="26"/>
      <c r="N62" s="37" t="s">
        <v>1818</v>
      </c>
      <c r="O62" s="37" t="s">
        <v>1867</v>
      </c>
      <c r="S62" s="61"/>
      <c r="T62" s="60" t="s">
        <v>1950</v>
      </c>
      <c r="U62" s="60" t="s">
        <v>1758</v>
      </c>
      <c r="V62" s="60" t="s">
        <v>1790</v>
      </c>
      <c r="W62" s="60" t="s">
        <v>1847</v>
      </c>
      <c r="X62" s="62" t="s">
        <v>1932</v>
      </c>
      <c r="Y62" s="60"/>
    </row>
    <row r="63" spans="1:25" ht="13.2">
      <c r="A63" s="27" t="s">
        <v>1739</v>
      </c>
      <c r="B63" s="28" t="s">
        <v>1772</v>
      </c>
      <c r="C63" s="42" t="s">
        <v>1818</v>
      </c>
      <c r="D63" s="40" t="s">
        <v>1869</v>
      </c>
      <c r="F63"/>
      <c r="H63" s="39"/>
      <c r="I63" s="39"/>
      <c r="J63" s="25"/>
      <c r="K63" s="37" t="s">
        <v>1796</v>
      </c>
      <c r="L63" s="37" t="s">
        <v>1870</v>
      </c>
      <c r="M63" s="26"/>
      <c r="N63" s="37" t="s">
        <v>1818</v>
      </c>
      <c r="O63" s="37" t="s">
        <v>1869</v>
      </c>
      <c r="S63" s="61"/>
      <c r="T63" s="60" t="s">
        <v>2046</v>
      </c>
      <c r="U63" s="60" t="s">
        <v>1758</v>
      </c>
      <c r="V63" s="60" t="s">
        <v>1790</v>
      </c>
      <c r="W63" s="60" t="s">
        <v>1847</v>
      </c>
      <c r="X63" s="62" t="s">
        <v>1932</v>
      </c>
      <c r="Y63" s="60"/>
    </row>
    <row r="64" spans="1:25" ht="13.2">
      <c r="A64" s="27" t="s">
        <v>1739</v>
      </c>
      <c r="B64" s="28" t="s">
        <v>1772</v>
      </c>
      <c r="C64" s="41" t="s">
        <v>1820</v>
      </c>
      <c r="D64" s="40" t="s">
        <v>1871</v>
      </c>
      <c r="F64"/>
      <c r="H64" s="39"/>
      <c r="I64" s="39"/>
      <c r="J64" s="25"/>
      <c r="K64" s="37" t="s">
        <v>1796</v>
      </c>
      <c r="L64" s="37" t="s">
        <v>1872</v>
      </c>
      <c r="M64" s="26"/>
      <c r="N64" s="37" t="s">
        <v>1820</v>
      </c>
      <c r="O64" s="37" t="s">
        <v>1871</v>
      </c>
      <c r="S64" s="61"/>
      <c r="T64" s="60" t="s">
        <v>1951</v>
      </c>
      <c r="U64" s="60" t="s">
        <v>1758</v>
      </c>
      <c r="V64" s="60" t="s">
        <v>1790</v>
      </c>
      <c r="W64" s="60" t="s">
        <v>1847</v>
      </c>
      <c r="X64" s="60" t="s">
        <v>1891</v>
      </c>
      <c r="Y64" s="60"/>
    </row>
    <row r="65" spans="1:25" ht="13.2">
      <c r="A65" s="27" t="s">
        <v>1739</v>
      </c>
      <c r="B65" s="31" t="s">
        <v>1772</v>
      </c>
      <c r="C65" s="42" t="s">
        <v>1820</v>
      </c>
      <c r="D65" s="40" t="s">
        <v>1873</v>
      </c>
      <c r="F65"/>
      <c r="H65" s="39"/>
      <c r="I65" s="39"/>
      <c r="J65" s="25"/>
      <c r="K65" s="37" t="s">
        <v>1796</v>
      </c>
      <c r="L65" s="37" t="s">
        <v>1874</v>
      </c>
      <c r="M65" s="26"/>
      <c r="N65" s="37" t="s">
        <v>1820</v>
      </c>
      <c r="O65" s="37" t="s">
        <v>1873</v>
      </c>
      <c r="S65" s="61"/>
      <c r="T65" s="60" t="s">
        <v>2046</v>
      </c>
      <c r="U65" s="60" t="s">
        <v>1758</v>
      </c>
      <c r="V65" s="60" t="s">
        <v>1790</v>
      </c>
      <c r="W65" s="60" t="s">
        <v>1847</v>
      </c>
      <c r="X65" s="62" t="s">
        <v>1932</v>
      </c>
      <c r="Y65" s="60"/>
    </row>
    <row r="66" spans="1:25" ht="21">
      <c r="A66" s="27" t="s">
        <v>1739</v>
      </c>
      <c r="B66" s="41" t="s">
        <v>1775</v>
      </c>
      <c r="C66" s="41" t="s">
        <v>1823</v>
      </c>
      <c r="D66" s="40" t="s">
        <v>1875</v>
      </c>
      <c r="F66"/>
      <c r="H66" s="39"/>
      <c r="I66" s="39"/>
      <c r="J66" s="25"/>
      <c r="K66" s="37" t="s">
        <v>1796</v>
      </c>
      <c r="L66" s="37" t="s">
        <v>1876</v>
      </c>
      <c r="M66" s="26"/>
      <c r="N66" s="37" t="s">
        <v>1823</v>
      </c>
      <c r="O66" s="37" t="s">
        <v>1875</v>
      </c>
      <c r="S66" s="61"/>
      <c r="T66" s="60" t="s">
        <v>1938</v>
      </c>
      <c r="U66" s="60" t="s">
        <v>1758</v>
      </c>
      <c r="V66" s="60" t="s">
        <v>1790</v>
      </c>
      <c r="W66" s="60" t="s">
        <v>1847</v>
      </c>
      <c r="X66" s="62" t="s">
        <v>1932</v>
      </c>
      <c r="Y66" s="60"/>
    </row>
    <row r="67" spans="1:25" ht="21">
      <c r="A67" s="27" t="s">
        <v>1739</v>
      </c>
      <c r="B67" s="41" t="s">
        <v>1775</v>
      </c>
      <c r="C67" s="41" t="s">
        <v>1823</v>
      </c>
      <c r="D67" s="40" t="s">
        <v>1877</v>
      </c>
      <c r="F67"/>
      <c r="H67" s="39"/>
      <c r="I67" s="39"/>
      <c r="J67" s="25"/>
      <c r="K67" s="37" t="s">
        <v>1799</v>
      </c>
      <c r="L67" s="37" t="s">
        <v>1878</v>
      </c>
      <c r="M67" s="26"/>
      <c r="N67" s="37" t="s">
        <v>1823</v>
      </c>
      <c r="O67" s="37" t="s">
        <v>1877</v>
      </c>
      <c r="S67" s="61"/>
      <c r="T67" s="60" t="s">
        <v>1940</v>
      </c>
      <c r="U67" s="60" t="s">
        <v>1758</v>
      </c>
      <c r="V67" s="60" t="s">
        <v>1796</v>
      </c>
      <c r="W67" s="60" t="s">
        <v>1870</v>
      </c>
      <c r="X67" s="62" t="s">
        <v>1932</v>
      </c>
      <c r="Y67" s="60"/>
    </row>
    <row r="68" spans="1:25" ht="21">
      <c r="A68" s="27" t="s">
        <v>1739</v>
      </c>
      <c r="B68" s="41" t="s">
        <v>1775</v>
      </c>
      <c r="C68" s="41" t="s">
        <v>1823</v>
      </c>
      <c r="D68" s="40" t="s">
        <v>1879</v>
      </c>
      <c r="F68"/>
      <c r="H68" s="39"/>
      <c r="I68" s="39"/>
      <c r="J68" s="25"/>
      <c r="K68" s="37" t="s">
        <v>1799</v>
      </c>
      <c r="L68" s="37" t="s">
        <v>1880</v>
      </c>
      <c r="M68" s="26"/>
      <c r="N68" s="37" t="s">
        <v>1823</v>
      </c>
      <c r="O68" s="37" t="s">
        <v>1879</v>
      </c>
      <c r="S68" s="61"/>
      <c r="T68" s="60" t="s">
        <v>1940</v>
      </c>
      <c r="U68" s="60" t="s">
        <v>1758</v>
      </c>
      <c r="V68" s="60" t="s">
        <v>1796</v>
      </c>
      <c r="W68" s="60" t="s">
        <v>1870</v>
      </c>
      <c r="X68" s="62" t="s">
        <v>1932</v>
      </c>
      <c r="Y68" s="60"/>
    </row>
    <row r="69" spans="1:25" ht="21">
      <c r="A69" s="27" t="s">
        <v>1739</v>
      </c>
      <c r="B69" s="41" t="s">
        <v>1775</v>
      </c>
      <c r="C69" s="41" t="s">
        <v>1823</v>
      </c>
      <c r="D69" s="40" t="s">
        <v>1881</v>
      </c>
      <c r="F69"/>
      <c r="H69" s="39"/>
      <c r="I69" s="39"/>
      <c r="J69" s="25"/>
      <c r="K69" s="37" t="s">
        <v>1799</v>
      </c>
      <c r="L69" s="37" t="s">
        <v>1882</v>
      </c>
      <c r="M69" s="26"/>
      <c r="N69" s="37" t="s">
        <v>1823</v>
      </c>
      <c r="O69" s="37" t="s">
        <v>1881</v>
      </c>
      <c r="S69" s="61"/>
      <c r="T69" s="60" t="s">
        <v>1938</v>
      </c>
      <c r="U69" s="60" t="s">
        <v>1758</v>
      </c>
      <c r="V69" s="60" t="s">
        <v>1790</v>
      </c>
      <c r="W69" s="60" t="s">
        <v>1847</v>
      </c>
      <c r="X69" s="62" t="s">
        <v>1932</v>
      </c>
      <c r="Y69" s="60"/>
    </row>
    <row r="70" spans="1:25" ht="21">
      <c r="A70" s="27" t="s">
        <v>1739</v>
      </c>
      <c r="B70" s="41" t="s">
        <v>1775</v>
      </c>
      <c r="C70" s="42" t="s">
        <v>1823</v>
      </c>
      <c r="D70" s="40" t="s">
        <v>1883</v>
      </c>
      <c r="F70"/>
      <c r="H70" s="39"/>
      <c r="I70" s="39"/>
      <c r="J70" s="25"/>
      <c r="K70" s="39"/>
      <c r="L70" s="39"/>
      <c r="M70" s="26"/>
      <c r="N70" s="37" t="s">
        <v>1823</v>
      </c>
      <c r="O70" s="37" t="s">
        <v>1883</v>
      </c>
      <c r="S70" s="61"/>
      <c r="T70" s="60" t="s">
        <v>1944</v>
      </c>
      <c r="U70" s="60" t="s">
        <v>1758</v>
      </c>
      <c r="V70" s="60" t="s">
        <v>1790</v>
      </c>
      <c r="W70" s="60" t="s">
        <v>1847</v>
      </c>
      <c r="X70" s="62" t="s">
        <v>1932</v>
      </c>
      <c r="Y70" s="60"/>
    </row>
    <row r="71" spans="1:25" ht="13.2">
      <c r="A71" s="27" t="s">
        <v>1739</v>
      </c>
      <c r="B71" s="41" t="s">
        <v>1775</v>
      </c>
      <c r="C71" s="43" t="s">
        <v>1826</v>
      </c>
      <c r="D71" s="40"/>
      <c r="F71"/>
      <c r="H71" s="44"/>
      <c r="I71" s="44"/>
      <c r="K71" s="39"/>
      <c r="L71" s="39"/>
      <c r="M71" s="26"/>
      <c r="N71" s="37" t="s">
        <v>1826</v>
      </c>
      <c r="O71" s="37"/>
      <c r="S71" s="61"/>
      <c r="T71" s="60" t="s">
        <v>1938</v>
      </c>
      <c r="U71" s="60" t="s">
        <v>1758</v>
      </c>
      <c r="V71" s="60" t="s">
        <v>1790</v>
      </c>
      <c r="W71" s="60" t="s">
        <v>1847</v>
      </c>
      <c r="X71" s="62" t="s">
        <v>1932</v>
      </c>
      <c r="Y71" s="60"/>
    </row>
    <row r="72" spans="1:25" ht="21">
      <c r="A72" s="27" t="s">
        <v>1739</v>
      </c>
      <c r="B72" s="42" t="s">
        <v>1775</v>
      </c>
      <c r="C72" s="42" t="s">
        <v>1828</v>
      </c>
      <c r="D72" s="45"/>
      <c r="F72"/>
      <c r="H72" s="44"/>
      <c r="I72" s="44"/>
      <c r="K72" s="39"/>
      <c r="L72" s="39"/>
      <c r="M72" s="26"/>
      <c r="N72" s="37" t="s">
        <v>1828</v>
      </c>
      <c r="O72" s="37"/>
      <c r="S72" s="61"/>
      <c r="T72" s="60" t="s">
        <v>1952</v>
      </c>
      <c r="U72" s="60" t="s">
        <v>1739</v>
      </c>
      <c r="V72" s="60" t="s">
        <v>1776</v>
      </c>
      <c r="W72" s="60" t="s">
        <v>1830</v>
      </c>
      <c r="X72" s="62" t="s">
        <v>1932</v>
      </c>
      <c r="Y72" s="60"/>
    </row>
    <row r="73" spans="1:25" ht="13.2">
      <c r="A73" s="27" t="s">
        <v>1739</v>
      </c>
      <c r="B73" s="41" t="s">
        <v>1776</v>
      </c>
      <c r="C73" s="43" t="s">
        <v>1829</v>
      </c>
      <c r="D73" s="40"/>
      <c r="F73"/>
      <c r="H73" s="44"/>
      <c r="I73" s="44"/>
      <c r="K73" s="39"/>
      <c r="L73" s="39"/>
      <c r="M73" s="26"/>
      <c r="N73" s="37" t="s">
        <v>1829</v>
      </c>
      <c r="O73" s="37"/>
      <c r="S73" s="61"/>
      <c r="T73" s="60" t="s">
        <v>2058</v>
      </c>
      <c r="U73" s="60" t="s">
        <v>1739</v>
      </c>
      <c r="V73" s="60" t="s">
        <v>1787</v>
      </c>
      <c r="W73" s="60" t="s">
        <v>1841</v>
      </c>
      <c r="X73" s="62" t="s">
        <v>1932</v>
      </c>
      <c r="Y73" s="60"/>
    </row>
    <row r="74" spans="1:25" ht="13.2">
      <c r="A74" s="27" t="s">
        <v>1739</v>
      </c>
      <c r="B74" s="42" t="s">
        <v>1776</v>
      </c>
      <c r="C74" s="42" t="s">
        <v>1830</v>
      </c>
      <c r="D74" s="45"/>
      <c r="F74"/>
      <c r="H74" s="44"/>
      <c r="I74" s="44"/>
      <c r="K74" s="39"/>
      <c r="L74" s="39"/>
      <c r="M74" s="26"/>
      <c r="N74" s="37" t="s">
        <v>1830</v>
      </c>
      <c r="O74" s="37"/>
      <c r="S74" s="61"/>
      <c r="T74" s="60" t="s">
        <v>2046</v>
      </c>
      <c r="U74" s="60" t="s">
        <v>1758</v>
      </c>
      <c r="V74" s="60" t="s">
        <v>1790</v>
      </c>
      <c r="W74" s="60" t="s">
        <v>1847</v>
      </c>
      <c r="X74" s="62" t="s">
        <v>1932</v>
      </c>
      <c r="Y74" s="60"/>
    </row>
    <row r="75" spans="1:25" ht="13.2">
      <c r="A75" s="27" t="s">
        <v>1739</v>
      </c>
      <c r="B75" s="41" t="s">
        <v>1778</v>
      </c>
      <c r="C75" s="41" t="s">
        <v>1832</v>
      </c>
      <c r="D75" s="40" t="s">
        <v>1884</v>
      </c>
      <c r="F75"/>
      <c r="H75" s="44"/>
      <c r="I75" s="44"/>
      <c r="K75" s="39"/>
      <c r="L75" s="39"/>
      <c r="M75" s="26"/>
      <c r="N75" s="37" t="s">
        <v>1832</v>
      </c>
      <c r="O75" s="37" t="s">
        <v>1884</v>
      </c>
      <c r="S75" s="61"/>
      <c r="T75" s="60" t="s">
        <v>1953</v>
      </c>
      <c r="U75" s="60" t="s">
        <v>1739</v>
      </c>
      <c r="V75" s="60" t="s">
        <v>1772</v>
      </c>
      <c r="W75" s="60" t="s">
        <v>1813</v>
      </c>
      <c r="X75" s="62" t="s">
        <v>1932</v>
      </c>
      <c r="Y75" s="60"/>
    </row>
    <row r="76" spans="1:25" ht="13.2">
      <c r="A76" s="27" t="s">
        <v>1739</v>
      </c>
      <c r="B76" s="41" t="s">
        <v>1778</v>
      </c>
      <c r="C76" s="41" t="s">
        <v>1832</v>
      </c>
      <c r="D76" s="45" t="s">
        <v>1885</v>
      </c>
      <c r="F76"/>
      <c r="H76" s="44"/>
      <c r="I76" s="44"/>
      <c r="K76" s="39"/>
      <c r="L76" s="39"/>
      <c r="M76" s="26"/>
      <c r="N76" s="37" t="s">
        <v>1832</v>
      </c>
      <c r="O76" s="37" t="s">
        <v>1885</v>
      </c>
      <c r="S76" s="61"/>
      <c r="T76" s="60" t="s">
        <v>1954</v>
      </c>
      <c r="U76" s="60" t="s">
        <v>1739</v>
      </c>
      <c r="V76" s="60" t="s">
        <v>1772</v>
      </c>
      <c r="W76" s="60" t="s">
        <v>1813</v>
      </c>
      <c r="X76" s="62" t="s">
        <v>1932</v>
      </c>
      <c r="Y76" s="60"/>
    </row>
    <row r="77" spans="1:25" ht="13.2">
      <c r="A77" s="27" t="s">
        <v>1739</v>
      </c>
      <c r="B77" s="41" t="s">
        <v>1778</v>
      </c>
      <c r="C77" s="42" t="s">
        <v>1832</v>
      </c>
      <c r="D77" s="45" t="s">
        <v>1886</v>
      </c>
      <c r="F77"/>
      <c r="H77" s="44"/>
      <c r="I77" s="44"/>
      <c r="K77" s="39"/>
      <c r="L77" s="39"/>
      <c r="M77" s="26"/>
      <c r="N77" s="37" t="s">
        <v>1832</v>
      </c>
      <c r="O77" s="37" t="s">
        <v>1886</v>
      </c>
      <c r="S77" s="61"/>
      <c r="T77" s="60" t="s">
        <v>2046</v>
      </c>
      <c r="U77" s="60" t="s">
        <v>1758</v>
      </c>
      <c r="V77" s="60" t="s">
        <v>1790</v>
      </c>
      <c r="W77" s="60" t="s">
        <v>1847</v>
      </c>
      <c r="X77" s="62" t="s">
        <v>1932</v>
      </c>
      <c r="Y77" s="60"/>
    </row>
    <row r="78" spans="1:25" ht="13.2">
      <c r="A78" s="27" t="s">
        <v>1739</v>
      </c>
      <c r="B78" s="41" t="s">
        <v>1778</v>
      </c>
      <c r="C78" s="41" t="s">
        <v>1834</v>
      </c>
      <c r="D78" s="40" t="s">
        <v>1887</v>
      </c>
      <c r="F78"/>
      <c r="H78" s="44"/>
      <c r="I78" s="44"/>
      <c r="K78" s="39"/>
      <c r="L78" s="39"/>
      <c r="M78" s="26"/>
      <c r="N78" s="37" t="s">
        <v>1834</v>
      </c>
      <c r="O78" s="37" t="s">
        <v>1887</v>
      </c>
      <c r="S78" s="61"/>
      <c r="T78" s="60" t="s">
        <v>2051</v>
      </c>
      <c r="U78" s="60" t="s">
        <v>1739</v>
      </c>
      <c r="V78" s="60" t="s">
        <v>1768</v>
      </c>
      <c r="W78" s="60" t="s">
        <v>1788</v>
      </c>
      <c r="X78" s="62" t="s">
        <v>1932</v>
      </c>
      <c r="Y78" s="60"/>
    </row>
    <row r="79" spans="1:25" ht="13.2">
      <c r="A79" s="27" t="s">
        <v>1739</v>
      </c>
      <c r="B79" s="41" t="s">
        <v>1778</v>
      </c>
      <c r="C79" s="41" t="s">
        <v>1834</v>
      </c>
      <c r="D79" s="45" t="s">
        <v>1888</v>
      </c>
      <c r="F79"/>
      <c r="H79" s="44"/>
      <c r="I79" s="44"/>
      <c r="K79" s="39"/>
      <c r="L79" s="39"/>
      <c r="M79" s="26"/>
      <c r="N79" s="37" t="s">
        <v>1834</v>
      </c>
      <c r="O79" s="37" t="s">
        <v>1888</v>
      </c>
      <c r="S79" s="61"/>
      <c r="T79" s="60" t="s">
        <v>1951</v>
      </c>
      <c r="U79" s="60" t="s">
        <v>1758</v>
      </c>
      <c r="V79" s="60" t="s">
        <v>1790</v>
      </c>
      <c r="W79" s="60" t="s">
        <v>1847</v>
      </c>
      <c r="X79" s="60" t="s">
        <v>1891</v>
      </c>
      <c r="Y79" s="60"/>
    </row>
    <row r="80" spans="1:25" ht="13.2">
      <c r="A80" s="27" t="s">
        <v>1739</v>
      </c>
      <c r="B80" s="41" t="s">
        <v>1778</v>
      </c>
      <c r="C80" s="42" t="s">
        <v>1834</v>
      </c>
      <c r="D80" s="45" t="s">
        <v>1889</v>
      </c>
      <c r="F80"/>
      <c r="H80" s="44"/>
      <c r="I80" s="44"/>
      <c r="K80" s="39"/>
      <c r="L80" s="39"/>
      <c r="M80" s="26"/>
      <c r="N80" s="37" t="s">
        <v>1834</v>
      </c>
      <c r="O80" s="37" t="s">
        <v>1889</v>
      </c>
      <c r="S80" s="61"/>
      <c r="T80" s="60" t="s">
        <v>2059</v>
      </c>
      <c r="U80" s="60" t="s">
        <v>1739</v>
      </c>
      <c r="V80" s="60" t="s">
        <v>1768</v>
      </c>
      <c r="W80" s="60" t="s">
        <v>1785</v>
      </c>
      <c r="X80" s="62" t="s">
        <v>1932</v>
      </c>
      <c r="Y80" s="60"/>
    </row>
    <row r="81" spans="1:25" ht="21">
      <c r="A81" s="27" t="s">
        <v>1739</v>
      </c>
      <c r="B81" s="41" t="s">
        <v>1781</v>
      </c>
      <c r="C81" s="41" t="s">
        <v>1835</v>
      </c>
      <c r="D81" s="40" t="s">
        <v>1890</v>
      </c>
      <c r="F81"/>
      <c r="H81" s="44"/>
      <c r="I81" s="44"/>
      <c r="K81" s="39"/>
      <c r="L81" s="39"/>
      <c r="M81" s="26"/>
      <c r="N81" s="37" t="s">
        <v>1835</v>
      </c>
      <c r="O81" s="37" t="s">
        <v>1890</v>
      </c>
      <c r="S81" s="61"/>
      <c r="T81" s="60" t="s">
        <v>2046</v>
      </c>
      <c r="U81" s="60" t="s">
        <v>1758</v>
      </c>
      <c r="V81" s="60" t="s">
        <v>1790</v>
      </c>
      <c r="W81" s="60" t="s">
        <v>1847</v>
      </c>
      <c r="X81" s="62" t="s">
        <v>1932</v>
      </c>
      <c r="Y81" s="60"/>
    </row>
    <row r="82" spans="1:25" ht="21">
      <c r="A82" s="27" t="s">
        <v>1739</v>
      </c>
      <c r="B82" s="41" t="s">
        <v>1781</v>
      </c>
      <c r="C82" s="41" t="s">
        <v>1835</v>
      </c>
      <c r="D82" s="45" t="s">
        <v>1789</v>
      </c>
      <c r="F82"/>
      <c r="H82" s="44"/>
      <c r="I82" s="44"/>
      <c r="K82" s="39"/>
      <c r="L82" s="39"/>
      <c r="M82" s="26"/>
      <c r="N82" s="37" t="s">
        <v>1835</v>
      </c>
      <c r="O82" s="37" t="s">
        <v>1789</v>
      </c>
      <c r="S82" s="61"/>
      <c r="T82" s="60" t="s">
        <v>1955</v>
      </c>
      <c r="U82" s="60" t="s">
        <v>1739</v>
      </c>
      <c r="V82" s="60" t="s">
        <v>1778</v>
      </c>
      <c r="W82" s="60" t="s">
        <v>1832</v>
      </c>
      <c r="X82" s="62" t="s">
        <v>1932</v>
      </c>
      <c r="Y82" s="60"/>
    </row>
    <row r="83" spans="1:25" ht="21">
      <c r="A83" s="27" t="s">
        <v>1739</v>
      </c>
      <c r="B83" s="42" t="s">
        <v>1781</v>
      </c>
      <c r="C83" s="42" t="s">
        <v>1836</v>
      </c>
      <c r="D83" s="45"/>
      <c r="F83"/>
      <c r="H83" s="44"/>
      <c r="I83" s="44"/>
      <c r="K83" s="39"/>
      <c r="L83" s="39"/>
      <c r="M83" s="26"/>
      <c r="N83" s="37" t="s">
        <v>1836</v>
      </c>
      <c r="O83" s="37"/>
      <c r="S83" s="61"/>
      <c r="T83" s="60" t="s">
        <v>2060</v>
      </c>
      <c r="U83" s="60" t="s">
        <v>1758</v>
      </c>
      <c r="V83" s="60" t="s">
        <v>1793</v>
      </c>
      <c r="W83" s="60" t="s">
        <v>1854</v>
      </c>
      <c r="X83" s="62" t="s">
        <v>1932</v>
      </c>
      <c r="Y83" s="60"/>
    </row>
    <row r="84" spans="1:25" ht="13.2">
      <c r="A84" s="27" t="s">
        <v>1739</v>
      </c>
      <c r="B84" s="41" t="s">
        <v>1784</v>
      </c>
      <c r="C84" s="41" t="s">
        <v>1837</v>
      </c>
      <c r="D84" s="46"/>
      <c r="F84"/>
      <c r="H84" s="44"/>
      <c r="I84" s="44"/>
      <c r="K84" s="39"/>
      <c r="L84" s="39"/>
      <c r="M84" s="26"/>
      <c r="N84" s="37" t="s">
        <v>1837</v>
      </c>
      <c r="O84" s="37"/>
      <c r="S84" s="61"/>
      <c r="T84" s="60" t="s">
        <v>1956</v>
      </c>
      <c r="U84" s="60" t="s">
        <v>1758</v>
      </c>
      <c r="V84" s="60" t="s">
        <v>1790</v>
      </c>
      <c r="W84" s="60" t="s">
        <v>1847</v>
      </c>
      <c r="X84" s="62" t="s">
        <v>1932</v>
      </c>
      <c r="Y84" s="60"/>
    </row>
    <row r="85" spans="1:25" ht="13.2">
      <c r="A85" s="27" t="s">
        <v>1739</v>
      </c>
      <c r="B85" s="41" t="s">
        <v>1784</v>
      </c>
      <c r="C85" s="41" t="s">
        <v>1838</v>
      </c>
      <c r="D85" s="46"/>
      <c r="F85"/>
      <c r="H85" s="44"/>
      <c r="I85" s="44"/>
      <c r="K85" s="39"/>
      <c r="L85" s="39"/>
      <c r="M85" s="26"/>
      <c r="N85" s="37" t="s">
        <v>1838</v>
      </c>
      <c r="O85" s="37"/>
      <c r="S85" s="61"/>
      <c r="T85" s="60" t="s">
        <v>2046</v>
      </c>
      <c r="U85" s="60" t="s">
        <v>1758</v>
      </c>
      <c r="V85" s="60" t="s">
        <v>1790</v>
      </c>
      <c r="W85" s="60" t="s">
        <v>1847</v>
      </c>
      <c r="X85" s="62" t="s">
        <v>1932</v>
      </c>
      <c r="Y85" s="60"/>
    </row>
    <row r="86" spans="1:25" ht="21">
      <c r="A86" s="27" t="s">
        <v>1739</v>
      </c>
      <c r="B86" s="42" t="s">
        <v>1784</v>
      </c>
      <c r="C86" s="42" t="s">
        <v>1839</v>
      </c>
      <c r="D86" s="45"/>
      <c r="F86"/>
      <c r="H86" s="44"/>
      <c r="I86" s="44"/>
      <c r="K86" s="39"/>
      <c r="L86" s="39"/>
      <c r="M86" s="26"/>
      <c r="N86" s="37" t="s">
        <v>1839</v>
      </c>
      <c r="O86" s="37"/>
      <c r="S86" s="61"/>
      <c r="T86" s="60" t="s">
        <v>2046</v>
      </c>
      <c r="U86" s="60" t="s">
        <v>1758</v>
      </c>
      <c r="V86" s="60" t="s">
        <v>1790</v>
      </c>
      <c r="W86" s="60" t="s">
        <v>1847</v>
      </c>
      <c r="X86" s="62" t="s">
        <v>1932</v>
      </c>
      <c r="Y86" s="60"/>
    </row>
    <row r="87" spans="1:25" ht="13.2">
      <c r="A87" s="27" t="s">
        <v>1739</v>
      </c>
      <c r="B87" s="41" t="s">
        <v>1787</v>
      </c>
      <c r="C87" s="43" t="s">
        <v>1841</v>
      </c>
      <c r="D87" s="40"/>
      <c r="F87"/>
      <c r="H87" s="44"/>
      <c r="I87" s="44"/>
      <c r="K87" s="39"/>
      <c r="L87" s="39"/>
      <c r="M87" s="26"/>
      <c r="N87" s="37" t="s">
        <v>1841</v>
      </c>
      <c r="O87" s="37"/>
      <c r="S87" s="61"/>
      <c r="T87" s="60" t="s">
        <v>2046</v>
      </c>
      <c r="U87" s="60" t="s">
        <v>1758</v>
      </c>
      <c r="V87" s="60" t="s">
        <v>1790</v>
      </c>
      <c r="W87" s="60" t="s">
        <v>1847</v>
      </c>
      <c r="X87" s="62" t="s">
        <v>1932</v>
      </c>
      <c r="Y87" s="60"/>
    </row>
    <row r="88" spans="1:25" ht="21">
      <c r="A88" s="27" t="s">
        <v>1739</v>
      </c>
      <c r="B88" s="41" t="s">
        <v>1787</v>
      </c>
      <c r="C88" s="43" t="s">
        <v>1843</v>
      </c>
      <c r="D88" s="40"/>
      <c r="F88"/>
      <c r="H88" s="44"/>
      <c r="I88" s="44"/>
      <c r="K88" s="39"/>
      <c r="L88" s="39"/>
      <c r="M88" s="26"/>
      <c r="N88" s="37" t="s">
        <v>1843</v>
      </c>
      <c r="O88" s="37"/>
      <c r="S88" s="61"/>
      <c r="T88" s="60" t="s">
        <v>2046</v>
      </c>
      <c r="U88" s="60" t="s">
        <v>1758</v>
      </c>
      <c r="V88" s="60" t="s">
        <v>1790</v>
      </c>
      <c r="W88" s="60" t="s">
        <v>1847</v>
      </c>
      <c r="X88" s="62" t="s">
        <v>1932</v>
      </c>
      <c r="Y88" s="60"/>
    </row>
    <row r="89" spans="1:25" ht="13.8" thickBot="1">
      <c r="A89" s="34" t="s">
        <v>1739</v>
      </c>
      <c r="B89" s="47" t="s">
        <v>1787</v>
      </c>
      <c r="C89" s="47" t="s">
        <v>1845</v>
      </c>
      <c r="D89" s="48"/>
      <c r="F89"/>
      <c r="H89" s="44"/>
      <c r="I89" s="44"/>
      <c r="K89" s="39"/>
      <c r="L89" s="39"/>
      <c r="M89" s="26"/>
      <c r="N89" s="37" t="s">
        <v>1845</v>
      </c>
      <c r="O89" s="37"/>
      <c r="S89" s="61"/>
      <c r="T89" s="60" t="s">
        <v>2046</v>
      </c>
      <c r="U89" s="60" t="s">
        <v>1758</v>
      </c>
      <c r="V89" s="60" t="s">
        <v>1790</v>
      </c>
      <c r="W89" s="60" t="s">
        <v>1847</v>
      </c>
      <c r="X89" s="62" t="s">
        <v>1932</v>
      </c>
      <c r="Y89" s="60"/>
    </row>
    <row r="90" spans="1:25" ht="13.2">
      <c r="A90" s="49" t="s">
        <v>1758</v>
      </c>
      <c r="B90" s="41" t="s">
        <v>1790</v>
      </c>
      <c r="C90" s="41" t="s">
        <v>1847</v>
      </c>
      <c r="D90" s="45" t="s">
        <v>1891</v>
      </c>
      <c r="F90"/>
      <c r="H90" s="44"/>
      <c r="I90" s="44"/>
      <c r="K90" s="39"/>
      <c r="L90" s="39"/>
      <c r="M90" s="26"/>
      <c r="N90" s="37" t="s">
        <v>1847</v>
      </c>
      <c r="O90" s="37" t="s">
        <v>1891</v>
      </c>
      <c r="S90" s="61"/>
      <c r="T90" s="60" t="s">
        <v>2061</v>
      </c>
      <c r="U90" s="60" t="s">
        <v>1758</v>
      </c>
      <c r="V90" s="60" t="s">
        <v>1793</v>
      </c>
      <c r="W90" s="60" t="s">
        <v>1850</v>
      </c>
      <c r="X90" s="62" t="s">
        <v>1932</v>
      </c>
      <c r="Y90" s="60"/>
    </row>
    <row r="91" spans="1:25" ht="13.2">
      <c r="A91" s="49" t="s">
        <v>1758</v>
      </c>
      <c r="B91" s="41" t="s">
        <v>1790</v>
      </c>
      <c r="C91" s="41" t="s">
        <v>1847</v>
      </c>
      <c r="D91" s="40" t="s">
        <v>1892</v>
      </c>
      <c r="F91"/>
      <c r="H91" s="44"/>
      <c r="I91" s="44"/>
      <c r="K91" s="39"/>
      <c r="L91" s="39"/>
      <c r="M91" s="26"/>
      <c r="N91" s="37" t="s">
        <v>1847</v>
      </c>
      <c r="O91" s="37" t="s">
        <v>1892</v>
      </c>
      <c r="S91" s="61"/>
      <c r="T91" s="60" t="s">
        <v>2046</v>
      </c>
      <c r="U91" s="60" t="s">
        <v>1758</v>
      </c>
      <c r="V91" s="60" t="s">
        <v>1790</v>
      </c>
      <c r="W91" s="60" t="s">
        <v>1847</v>
      </c>
      <c r="X91" s="62" t="s">
        <v>1932</v>
      </c>
      <c r="Y91" s="60"/>
    </row>
    <row r="92" spans="1:25" ht="13.2">
      <c r="A92" s="49" t="s">
        <v>1758</v>
      </c>
      <c r="B92" s="41" t="s">
        <v>1790</v>
      </c>
      <c r="C92" s="42" t="s">
        <v>1847</v>
      </c>
      <c r="D92" s="40" t="s">
        <v>1893</v>
      </c>
      <c r="F92"/>
      <c r="H92" s="44"/>
      <c r="I92" s="44"/>
      <c r="K92" s="39"/>
      <c r="L92" s="39"/>
      <c r="M92" s="26"/>
      <c r="N92" s="37" t="s">
        <v>1847</v>
      </c>
      <c r="O92" s="37" t="s">
        <v>1893</v>
      </c>
      <c r="S92" s="61"/>
      <c r="T92" s="60" t="s">
        <v>2051</v>
      </c>
      <c r="U92" s="60" t="s">
        <v>1739</v>
      </c>
      <c r="V92" s="60" t="s">
        <v>1768</v>
      </c>
      <c r="W92" s="60" t="s">
        <v>1788</v>
      </c>
      <c r="X92" s="62" t="s">
        <v>1932</v>
      </c>
      <c r="Y92" s="60"/>
    </row>
    <row r="93" spans="1:25" ht="13.2">
      <c r="A93" s="49" t="s">
        <v>1758</v>
      </c>
      <c r="B93" s="41" t="s">
        <v>1790</v>
      </c>
      <c r="C93" s="41" t="s">
        <v>1848</v>
      </c>
      <c r="D93" s="40" t="s">
        <v>1891</v>
      </c>
      <c r="F93"/>
      <c r="H93" s="44"/>
      <c r="I93" s="44"/>
      <c r="K93" s="39"/>
      <c r="L93" s="39"/>
      <c r="M93" s="26"/>
      <c r="N93" s="37" t="s">
        <v>1848</v>
      </c>
      <c r="O93" s="37" t="s">
        <v>1891</v>
      </c>
      <c r="S93" s="61"/>
      <c r="T93" s="60" t="s">
        <v>1957</v>
      </c>
      <c r="U93" s="60" t="s">
        <v>1758</v>
      </c>
      <c r="V93" s="60" t="s">
        <v>1790</v>
      </c>
      <c r="W93" s="60" t="s">
        <v>1847</v>
      </c>
      <c r="X93" s="60" t="s">
        <v>1893</v>
      </c>
      <c r="Y93" s="60"/>
    </row>
    <row r="94" spans="1:25" ht="13.2">
      <c r="A94" s="49" t="s">
        <v>1758</v>
      </c>
      <c r="B94" s="41" t="s">
        <v>1790</v>
      </c>
      <c r="C94" s="41" t="s">
        <v>1848</v>
      </c>
      <c r="D94" s="40" t="s">
        <v>1892</v>
      </c>
      <c r="F94"/>
      <c r="H94" s="44"/>
      <c r="I94" s="44"/>
      <c r="K94" s="39"/>
      <c r="L94" s="39"/>
      <c r="M94" s="26"/>
      <c r="N94" s="37" t="s">
        <v>1848</v>
      </c>
      <c r="O94" s="37" t="s">
        <v>1892</v>
      </c>
      <c r="S94" s="61"/>
      <c r="T94" s="60" t="s">
        <v>1943</v>
      </c>
      <c r="U94" s="60" t="s">
        <v>1758</v>
      </c>
      <c r="V94" s="60" t="s">
        <v>1790</v>
      </c>
      <c r="W94" s="60" t="s">
        <v>1847</v>
      </c>
      <c r="X94" s="62" t="s">
        <v>1932</v>
      </c>
      <c r="Y94" s="60"/>
    </row>
    <row r="95" spans="1:25" ht="13.2">
      <c r="A95" s="49" t="s">
        <v>1758</v>
      </c>
      <c r="B95" s="42" t="s">
        <v>1790</v>
      </c>
      <c r="C95" s="42" t="s">
        <v>1848</v>
      </c>
      <c r="D95" s="40" t="s">
        <v>1893</v>
      </c>
      <c r="F95"/>
      <c r="H95" s="44"/>
      <c r="I95" s="44"/>
      <c r="K95" s="39"/>
      <c r="L95" s="39"/>
      <c r="M95" s="26"/>
      <c r="N95" s="37" t="s">
        <v>1848</v>
      </c>
      <c r="O95" s="37" t="s">
        <v>1893</v>
      </c>
      <c r="S95" s="61"/>
      <c r="T95" s="60" t="s">
        <v>1944</v>
      </c>
      <c r="U95" s="60" t="s">
        <v>1758</v>
      </c>
      <c r="V95" s="60" t="s">
        <v>1790</v>
      </c>
      <c r="W95" s="60" t="s">
        <v>1847</v>
      </c>
      <c r="X95" s="62" t="s">
        <v>1932</v>
      </c>
      <c r="Y95" s="60"/>
    </row>
    <row r="96" spans="1:25" ht="13.2">
      <c r="A96" s="49" t="s">
        <v>1758</v>
      </c>
      <c r="B96" s="41" t="s">
        <v>1793</v>
      </c>
      <c r="C96" s="43" t="s">
        <v>1850</v>
      </c>
      <c r="D96" s="40"/>
      <c r="F96"/>
      <c r="H96" s="44"/>
      <c r="I96" s="44"/>
      <c r="K96" s="39"/>
      <c r="L96" s="39"/>
      <c r="M96" s="26"/>
      <c r="N96" s="37" t="s">
        <v>1850</v>
      </c>
      <c r="O96" s="37"/>
      <c r="S96" s="61"/>
      <c r="T96" s="60" t="s">
        <v>1938</v>
      </c>
      <c r="U96" s="60" t="s">
        <v>1758</v>
      </c>
      <c r="V96" s="60" t="s">
        <v>1790</v>
      </c>
      <c r="W96" s="60" t="s">
        <v>1847</v>
      </c>
      <c r="X96" s="62" t="s">
        <v>1932</v>
      </c>
      <c r="Y96" s="60"/>
    </row>
    <row r="97" spans="1:25" ht="13.2">
      <c r="A97" s="49" t="s">
        <v>1758</v>
      </c>
      <c r="B97" s="41" t="s">
        <v>1793</v>
      </c>
      <c r="C97" s="43" t="s">
        <v>1852</v>
      </c>
      <c r="D97" s="40"/>
      <c r="F97"/>
      <c r="H97" s="44"/>
      <c r="I97" s="44"/>
      <c r="K97" s="39"/>
      <c r="L97" s="39"/>
      <c r="M97" s="26"/>
      <c r="N97" s="37" t="s">
        <v>1852</v>
      </c>
      <c r="O97" s="37"/>
      <c r="S97" s="61"/>
      <c r="T97" s="60" t="s">
        <v>1944</v>
      </c>
      <c r="U97" s="60" t="s">
        <v>1758</v>
      </c>
      <c r="V97" s="60" t="s">
        <v>1790</v>
      </c>
      <c r="W97" s="60" t="s">
        <v>1847</v>
      </c>
      <c r="X97" s="62" t="s">
        <v>1932</v>
      </c>
      <c r="Y97" s="60"/>
    </row>
    <row r="98" spans="1:25" ht="13.2">
      <c r="A98" s="49" t="s">
        <v>1758</v>
      </c>
      <c r="B98" s="41" t="s">
        <v>1793</v>
      </c>
      <c r="C98" s="43" t="s">
        <v>1854</v>
      </c>
      <c r="D98" s="40"/>
      <c r="F98"/>
      <c r="H98" s="44"/>
      <c r="I98" s="44"/>
      <c r="K98" s="39"/>
      <c r="L98" s="39"/>
      <c r="M98" s="26"/>
      <c r="N98" s="37" t="s">
        <v>1854</v>
      </c>
      <c r="O98" s="37"/>
      <c r="S98" s="61"/>
      <c r="T98" s="60" t="s">
        <v>1958</v>
      </c>
      <c r="U98" s="60" t="s">
        <v>1739</v>
      </c>
      <c r="V98" s="60" t="s">
        <v>1768</v>
      </c>
      <c r="W98" s="60" t="s">
        <v>1788</v>
      </c>
      <c r="X98" s="62" t="s">
        <v>1932</v>
      </c>
      <c r="Y98" s="60"/>
    </row>
    <row r="99" spans="1:25" ht="21">
      <c r="A99" s="49" t="s">
        <v>1758</v>
      </c>
      <c r="B99" s="41" t="s">
        <v>1793</v>
      </c>
      <c r="C99" s="43" t="s">
        <v>1855</v>
      </c>
      <c r="D99" s="40"/>
      <c r="F99"/>
      <c r="H99" s="44"/>
      <c r="I99" s="44"/>
      <c r="K99" s="39"/>
      <c r="L99" s="39"/>
      <c r="M99" s="26"/>
      <c r="N99" s="37" t="s">
        <v>1855</v>
      </c>
      <c r="O99" s="37"/>
      <c r="S99" s="61"/>
      <c r="T99" s="60" t="s">
        <v>2062</v>
      </c>
      <c r="U99" s="60" t="s">
        <v>1739</v>
      </c>
      <c r="V99" s="60" t="s">
        <v>1778</v>
      </c>
      <c r="W99" s="60" t="s">
        <v>1832</v>
      </c>
      <c r="X99" s="62" t="s">
        <v>1932</v>
      </c>
      <c r="Y99" s="60"/>
    </row>
    <row r="100" spans="1:25" ht="13.2">
      <c r="A100" s="49" t="s">
        <v>1758</v>
      </c>
      <c r="B100" s="42" t="s">
        <v>1793</v>
      </c>
      <c r="C100" s="42" t="s">
        <v>1857</v>
      </c>
      <c r="D100" s="45"/>
      <c r="F100"/>
      <c r="H100" s="44"/>
      <c r="I100" s="44"/>
      <c r="K100" s="39"/>
      <c r="L100" s="39"/>
      <c r="M100" s="26"/>
      <c r="N100" s="37" t="s">
        <v>1857</v>
      </c>
      <c r="O100" s="37"/>
      <c r="S100" s="61"/>
      <c r="T100" s="60" t="s">
        <v>2046</v>
      </c>
      <c r="U100" s="60" t="s">
        <v>1758</v>
      </c>
      <c r="V100" s="60" t="s">
        <v>1790</v>
      </c>
      <c r="W100" s="60" t="s">
        <v>1847</v>
      </c>
      <c r="X100" s="62" t="s">
        <v>1932</v>
      </c>
      <c r="Y100" s="60"/>
    </row>
    <row r="101" spans="1:25" ht="21">
      <c r="A101" s="49" t="s">
        <v>1758</v>
      </c>
      <c r="B101" s="41" t="s">
        <v>1796</v>
      </c>
      <c r="C101" s="43" t="s">
        <v>1859</v>
      </c>
      <c r="D101" s="40"/>
      <c r="F101"/>
      <c r="H101" s="44"/>
      <c r="I101" s="44"/>
      <c r="K101" s="39"/>
      <c r="L101" s="39"/>
      <c r="M101" s="26"/>
      <c r="N101" s="37" t="s">
        <v>1859</v>
      </c>
      <c r="O101" s="37"/>
      <c r="S101" s="61"/>
      <c r="T101" s="60" t="s">
        <v>2046</v>
      </c>
      <c r="U101" s="60" t="s">
        <v>1758</v>
      </c>
      <c r="V101" s="60" t="s">
        <v>1790</v>
      </c>
      <c r="W101" s="60" t="s">
        <v>1847</v>
      </c>
      <c r="X101" s="62" t="s">
        <v>1932</v>
      </c>
      <c r="Y101" s="60"/>
    </row>
    <row r="102" spans="1:25" ht="21">
      <c r="A102" s="49" t="s">
        <v>1758</v>
      </c>
      <c r="B102" s="41" t="s">
        <v>1796</v>
      </c>
      <c r="C102" s="41" t="s">
        <v>1861</v>
      </c>
      <c r="D102" s="40" t="s">
        <v>1894</v>
      </c>
      <c r="F102"/>
      <c r="H102" s="44"/>
      <c r="I102" s="44"/>
      <c r="K102" s="39"/>
      <c r="L102" s="39"/>
      <c r="M102" s="26"/>
      <c r="N102" s="37" t="s">
        <v>1861</v>
      </c>
      <c r="O102" s="37" t="s">
        <v>1894</v>
      </c>
      <c r="S102" s="61"/>
      <c r="T102" s="60" t="s">
        <v>2050</v>
      </c>
      <c r="U102" s="60" t="s">
        <v>1739</v>
      </c>
      <c r="V102" s="60" t="s">
        <v>1770</v>
      </c>
      <c r="W102" s="60" t="s">
        <v>1797</v>
      </c>
      <c r="X102" s="62" t="s">
        <v>1932</v>
      </c>
      <c r="Y102" s="60"/>
    </row>
    <row r="103" spans="1:25" ht="21">
      <c r="A103" s="49" t="s">
        <v>1758</v>
      </c>
      <c r="B103" s="41" t="s">
        <v>1796</v>
      </c>
      <c r="C103" s="42" t="s">
        <v>1861</v>
      </c>
      <c r="D103" s="40" t="s">
        <v>1895</v>
      </c>
      <c r="F103"/>
      <c r="H103" s="44"/>
      <c r="I103" s="44"/>
      <c r="K103" s="39"/>
      <c r="L103" s="39"/>
      <c r="M103" s="26"/>
      <c r="N103" s="37" t="s">
        <v>1861</v>
      </c>
      <c r="O103" s="37" t="s">
        <v>1895</v>
      </c>
      <c r="S103" s="61"/>
      <c r="T103" s="60" t="s">
        <v>2063</v>
      </c>
      <c r="U103" s="60" t="s">
        <v>1758</v>
      </c>
      <c r="V103" s="60" t="s">
        <v>1790</v>
      </c>
      <c r="W103" s="60" t="s">
        <v>1847</v>
      </c>
      <c r="X103" s="60" t="s">
        <v>1893</v>
      </c>
      <c r="Y103" s="60"/>
    </row>
    <row r="104" spans="1:25" ht="13.2">
      <c r="A104" s="49" t="s">
        <v>1758</v>
      </c>
      <c r="B104" s="41" t="s">
        <v>1796</v>
      </c>
      <c r="C104" s="43" t="s">
        <v>1863</v>
      </c>
      <c r="D104" s="40"/>
      <c r="F104"/>
      <c r="H104" s="44"/>
      <c r="I104" s="44"/>
      <c r="K104" s="39"/>
      <c r="L104" s="39"/>
      <c r="M104" s="26"/>
      <c r="N104" s="37" t="s">
        <v>1863</v>
      </c>
      <c r="O104" s="37"/>
      <c r="S104" s="61"/>
      <c r="T104" s="60" t="s">
        <v>1939</v>
      </c>
      <c r="U104" s="60" t="s">
        <v>1739</v>
      </c>
      <c r="V104" s="60" t="s">
        <v>1768</v>
      </c>
      <c r="W104" s="60" t="s">
        <v>1788</v>
      </c>
      <c r="X104" s="62" t="s">
        <v>1932</v>
      </c>
      <c r="Y104" s="60"/>
    </row>
    <row r="105" spans="1:25" ht="13.2">
      <c r="A105" s="49" t="s">
        <v>1758</v>
      </c>
      <c r="B105" s="41" t="s">
        <v>1796</v>
      </c>
      <c r="C105" s="43" t="s">
        <v>1864</v>
      </c>
      <c r="D105" s="40"/>
      <c r="F105"/>
      <c r="H105" s="44"/>
      <c r="I105" s="44"/>
      <c r="K105" s="39"/>
      <c r="L105" s="39"/>
      <c r="M105" s="26"/>
      <c r="N105" s="37" t="s">
        <v>1864</v>
      </c>
      <c r="O105" s="37"/>
      <c r="S105" s="61"/>
      <c r="T105" s="60" t="s">
        <v>1944</v>
      </c>
      <c r="U105" s="60" t="s">
        <v>1758</v>
      </c>
      <c r="V105" s="60" t="s">
        <v>1790</v>
      </c>
      <c r="W105" s="60" t="s">
        <v>1847</v>
      </c>
      <c r="X105" s="62" t="s">
        <v>1932</v>
      </c>
      <c r="Y105" s="60"/>
    </row>
    <row r="106" spans="1:25" ht="21">
      <c r="A106" s="49" t="s">
        <v>1758</v>
      </c>
      <c r="B106" s="41" t="s">
        <v>1796</v>
      </c>
      <c r="C106" s="41" t="s">
        <v>1866</v>
      </c>
      <c r="D106" s="40" t="s">
        <v>1896</v>
      </c>
      <c r="F106"/>
      <c r="H106" s="44"/>
      <c r="I106" s="44"/>
      <c r="K106" s="39"/>
      <c r="L106" s="39"/>
      <c r="M106" s="26"/>
      <c r="N106" s="37" t="s">
        <v>1866</v>
      </c>
      <c r="O106" s="37" t="s">
        <v>1896</v>
      </c>
      <c r="S106" s="61"/>
      <c r="T106" s="60" t="s">
        <v>2046</v>
      </c>
      <c r="U106" s="60" t="s">
        <v>1758</v>
      </c>
      <c r="V106" s="60" t="s">
        <v>1790</v>
      </c>
      <c r="W106" s="60" t="s">
        <v>1847</v>
      </c>
      <c r="X106" s="62" t="s">
        <v>1932</v>
      </c>
      <c r="Y106" s="60"/>
    </row>
    <row r="107" spans="1:25" ht="21">
      <c r="A107" s="49" t="s">
        <v>1758</v>
      </c>
      <c r="B107" s="41" t="s">
        <v>1796</v>
      </c>
      <c r="C107" s="41" t="s">
        <v>1866</v>
      </c>
      <c r="D107" s="40" t="s">
        <v>1897</v>
      </c>
      <c r="F107"/>
      <c r="H107" s="44"/>
      <c r="I107" s="44"/>
      <c r="K107" s="39"/>
      <c r="L107" s="39"/>
      <c r="M107" s="26"/>
      <c r="N107" s="37" t="s">
        <v>1866</v>
      </c>
      <c r="O107" s="37" t="s">
        <v>1897</v>
      </c>
      <c r="S107" s="61"/>
      <c r="T107" s="60" t="s">
        <v>2046</v>
      </c>
      <c r="U107" s="60" t="s">
        <v>1758</v>
      </c>
      <c r="V107" s="60" t="s">
        <v>1790</v>
      </c>
      <c r="W107" s="60" t="s">
        <v>1847</v>
      </c>
      <c r="X107" s="62" t="s">
        <v>1932</v>
      </c>
      <c r="Y107" s="60"/>
    </row>
    <row r="108" spans="1:25" ht="21">
      <c r="A108" s="49" t="s">
        <v>1758</v>
      </c>
      <c r="B108" s="41" t="s">
        <v>1796</v>
      </c>
      <c r="C108" s="42" t="s">
        <v>1866</v>
      </c>
      <c r="D108" s="40" t="s">
        <v>1883</v>
      </c>
      <c r="F108"/>
      <c r="H108" s="44"/>
      <c r="I108" s="44"/>
      <c r="K108" s="39"/>
      <c r="L108" s="39"/>
      <c r="M108" s="26"/>
      <c r="N108" s="37" t="s">
        <v>1866</v>
      </c>
      <c r="O108" s="37" t="s">
        <v>1883</v>
      </c>
      <c r="S108" s="61"/>
      <c r="T108" s="60" t="s">
        <v>1938</v>
      </c>
      <c r="U108" s="60" t="s">
        <v>1758</v>
      </c>
      <c r="V108" s="60" t="s">
        <v>1790</v>
      </c>
      <c r="W108" s="60" t="s">
        <v>1847</v>
      </c>
      <c r="X108" s="62" t="s">
        <v>1932</v>
      </c>
      <c r="Y108" s="60"/>
    </row>
    <row r="109" spans="1:25" ht="21">
      <c r="A109" s="49" t="s">
        <v>1758</v>
      </c>
      <c r="B109" s="41" t="s">
        <v>1796</v>
      </c>
      <c r="C109" s="43" t="s">
        <v>1868</v>
      </c>
      <c r="D109" s="40"/>
      <c r="F109"/>
      <c r="H109" s="44"/>
      <c r="I109" s="44"/>
      <c r="K109" s="39"/>
      <c r="L109" s="39"/>
      <c r="M109" s="26"/>
      <c r="N109" s="37" t="s">
        <v>1868</v>
      </c>
      <c r="O109" s="37"/>
      <c r="S109" s="61"/>
      <c r="T109" s="60" t="s">
        <v>2046</v>
      </c>
      <c r="U109" s="60" t="s">
        <v>1758</v>
      </c>
      <c r="V109" s="60" t="s">
        <v>1790</v>
      </c>
      <c r="W109" s="60" t="s">
        <v>1847</v>
      </c>
      <c r="X109" s="62" t="s">
        <v>1932</v>
      </c>
      <c r="Y109" s="60"/>
    </row>
    <row r="110" spans="1:25" ht="21">
      <c r="A110" s="49" t="s">
        <v>1758</v>
      </c>
      <c r="B110" s="41" t="s">
        <v>1796</v>
      </c>
      <c r="C110" s="43" t="s">
        <v>1870</v>
      </c>
      <c r="D110" s="40"/>
      <c r="F110"/>
      <c r="H110" s="44"/>
      <c r="I110" s="44"/>
      <c r="K110" s="39"/>
      <c r="L110" s="39"/>
      <c r="M110" s="26"/>
      <c r="N110" s="37" t="s">
        <v>1870</v>
      </c>
      <c r="O110" s="37"/>
      <c r="S110" s="61"/>
      <c r="T110" s="60" t="s">
        <v>1959</v>
      </c>
      <c r="U110" s="60" t="s">
        <v>1739</v>
      </c>
      <c r="V110" s="60" t="s">
        <v>1772</v>
      </c>
      <c r="W110" s="60" t="s">
        <v>1810</v>
      </c>
      <c r="X110" s="62" t="s">
        <v>1932</v>
      </c>
      <c r="Y110" s="60"/>
    </row>
    <row r="111" spans="1:25" ht="13.2">
      <c r="A111" s="49" t="s">
        <v>1758</v>
      </c>
      <c r="B111" s="41" t="s">
        <v>1796</v>
      </c>
      <c r="C111" s="43" t="s">
        <v>1872</v>
      </c>
      <c r="D111" s="40"/>
      <c r="F111"/>
      <c r="H111" s="44"/>
      <c r="I111" s="44"/>
      <c r="K111" s="39"/>
      <c r="L111" s="39"/>
      <c r="M111" s="26"/>
      <c r="N111" s="37" t="s">
        <v>1872</v>
      </c>
      <c r="O111" s="37"/>
      <c r="S111" s="61"/>
      <c r="T111" s="60" t="s">
        <v>2046</v>
      </c>
      <c r="U111" s="60" t="s">
        <v>1758</v>
      </c>
      <c r="V111" s="60" t="s">
        <v>1790</v>
      </c>
      <c r="W111" s="60" t="s">
        <v>1847</v>
      </c>
      <c r="X111" s="62" t="s">
        <v>1932</v>
      </c>
      <c r="Y111" s="60"/>
    </row>
    <row r="112" spans="1:25" ht="13.2">
      <c r="A112" s="49" t="s">
        <v>1758</v>
      </c>
      <c r="B112" s="41" t="s">
        <v>1796</v>
      </c>
      <c r="C112" s="43" t="s">
        <v>1874</v>
      </c>
      <c r="D112" s="40"/>
      <c r="F112"/>
      <c r="H112" s="44"/>
      <c r="I112" s="44"/>
      <c r="K112" s="39"/>
      <c r="L112" s="39"/>
      <c r="M112" s="26"/>
      <c r="N112" s="37" t="s">
        <v>1874</v>
      </c>
      <c r="O112" s="37"/>
      <c r="S112" s="61"/>
      <c r="T112" s="60" t="s">
        <v>2064</v>
      </c>
      <c r="U112" s="60" t="s">
        <v>1739</v>
      </c>
      <c r="V112" s="60" t="s">
        <v>1776</v>
      </c>
      <c r="W112" s="60" t="s">
        <v>1830</v>
      </c>
      <c r="X112" s="62" t="s">
        <v>1932</v>
      </c>
      <c r="Y112" s="60"/>
    </row>
    <row r="113" spans="1:25" ht="21">
      <c r="A113" s="49" t="s">
        <v>1758</v>
      </c>
      <c r="B113" s="41" t="s">
        <v>1796</v>
      </c>
      <c r="C113" s="41" t="s">
        <v>1876</v>
      </c>
      <c r="D113" s="40" t="s">
        <v>1898</v>
      </c>
      <c r="F113"/>
      <c r="H113" s="44"/>
      <c r="I113" s="44"/>
      <c r="K113" s="39"/>
      <c r="L113" s="39"/>
      <c r="M113" s="26"/>
      <c r="N113" s="37" t="s">
        <v>1876</v>
      </c>
      <c r="O113" s="37" t="s">
        <v>1898</v>
      </c>
      <c r="S113" s="61"/>
      <c r="T113" s="60" t="s">
        <v>2046</v>
      </c>
      <c r="U113" s="60" t="s">
        <v>1758</v>
      </c>
      <c r="V113" s="60" t="s">
        <v>1790</v>
      </c>
      <c r="W113" s="60" t="s">
        <v>1847</v>
      </c>
      <c r="X113" s="62" t="s">
        <v>1932</v>
      </c>
      <c r="Y113" s="60"/>
    </row>
    <row r="114" spans="1:25" ht="13.2">
      <c r="A114" s="49" t="s">
        <v>1758</v>
      </c>
      <c r="B114" s="42" t="s">
        <v>1796</v>
      </c>
      <c r="C114" s="42" t="s">
        <v>1876</v>
      </c>
      <c r="D114" s="40" t="s">
        <v>1789</v>
      </c>
      <c r="F114"/>
      <c r="H114" s="44"/>
      <c r="I114" s="44"/>
      <c r="K114" s="39"/>
      <c r="L114" s="39"/>
      <c r="M114" s="26"/>
      <c r="N114" s="37" t="s">
        <v>1876</v>
      </c>
      <c r="O114" s="37" t="s">
        <v>1789</v>
      </c>
      <c r="S114" s="61"/>
      <c r="T114" s="60" t="s">
        <v>2046</v>
      </c>
      <c r="U114" s="60" t="s">
        <v>1758</v>
      </c>
      <c r="V114" s="60" t="s">
        <v>1790</v>
      </c>
      <c r="W114" s="60" t="s">
        <v>1847</v>
      </c>
      <c r="X114" s="62" t="s">
        <v>1932</v>
      </c>
      <c r="Y114" s="60"/>
    </row>
    <row r="115" spans="1:25" ht="13.2">
      <c r="A115" s="49" t="s">
        <v>1758</v>
      </c>
      <c r="B115" s="41" t="s">
        <v>1799</v>
      </c>
      <c r="C115" s="41" t="s">
        <v>1878</v>
      </c>
      <c r="D115" s="40" t="s">
        <v>1899</v>
      </c>
      <c r="F115"/>
      <c r="H115" s="44"/>
      <c r="I115" s="44"/>
      <c r="K115" s="39"/>
      <c r="L115" s="39"/>
      <c r="M115" s="26"/>
      <c r="N115" s="37" t="s">
        <v>1878</v>
      </c>
      <c r="O115" s="37" t="s">
        <v>1899</v>
      </c>
      <c r="S115" s="61"/>
      <c r="T115" s="60" t="s">
        <v>2065</v>
      </c>
      <c r="U115" s="60" t="s">
        <v>1758</v>
      </c>
      <c r="V115" s="60" t="s">
        <v>1796</v>
      </c>
      <c r="W115" s="60" t="s">
        <v>1870</v>
      </c>
      <c r="X115" s="62" t="s">
        <v>1932</v>
      </c>
      <c r="Y115" s="60"/>
    </row>
    <row r="116" spans="1:25" ht="13.2">
      <c r="A116" s="49" t="s">
        <v>1758</v>
      </c>
      <c r="B116" s="41" t="s">
        <v>1799</v>
      </c>
      <c r="C116" s="42" t="s">
        <v>1878</v>
      </c>
      <c r="D116" s="40" t="s">
        <v>1789</v>
      </c>
      <c r="F116"/>
      <c r="H116" s="44"/>
      <c r="I116" s="44"/>
      <c r="K116" s="39"/>
      <c r="L116" s="39"/>
      <c r="M116" s="26"/>
      <c r="N116" s="37" t="s">
        <v>1878</v>
      </c>
      <c r="O116" s="37" t="s">
        <v>1789</v>
      </c>
      <c r="S116" s="61"/>
      <c r="T116" s="60" t="s">
        <v>1960</v>
      </c>
      <c r="U116" s="60" t="s">
        <v>1758</v>
      </c>
      <c r="V116" s="60" t="s">
        <v>1796</v>
      </c>
      <c r="W116" s="60" t="s">
        <v>1870</v>
      </c>
      <c r="X116" s="62" t="s">
        <v>1932</v>
      </c>
      <c r="Y116" s="60"/>
    </row>
    <row r="117" spans="1:25" ht="13.2">
      <c r="A117" s="49" t="s">
        <v>1758</v>
      </c>
      <c r="B117" s="41" t="s">
        <v>1799</v>
      </c>
      <c r="C117" s="41" t="s">
        <v>1880</v>
      </c>
      <c r="D117" s="40" t="s">
        <v>1900</v>
      </c>
      <c r="F117"/>
      <c r="H117" s="44"/>
      <c r="I117" s="44"/>
      <c r="K117" s="39"/>
      <c r="L117" s="39"/>
      <c r="M117" s="26"/>
      <c r="N117" s="37" t="s">
        <v>1880</v>
      </c>
      <c r="O117" s="37" t="s">
        <v>1900</v>
      </c>
      <c r="S117" s="61"/>
      <c r="T117" s="60" t="s">
        <v>2066</v>
      </c>
      <c r="U117" s="60" t="s">
        <v>1758</v>
      </c>
      <c r="V117" s="60" t="s">
        <v>1790</v>
      </c>
      <c r="W117" s="60" t="s">
        <v>1847</v>
      </c>
      <c r="X117" s="60" t="s">
        <v>1893</v>
      </c>
      <c r="Y117" s="60"/>
    </row>
    <row r="118" spans="1:25" ht="13.2">
      <c r="A118" s="49" t="s">
        <v>1758</v>
      </c>
      <c r="B118" s="41" t="s">
        <v>1799</v>
      </c>
      <c r="C118" s="42" t="s">
        <v>1880</v>
      </c>
      <c r="D118" s="40" t="s">
        <v>1789</v>
      </c>
      <c r="F118"/>
      <c r="H118" s="44"/>
      <c r="I118" s="44"/>
      <c r="K118" s="39"/>
      <c r="L118" s="39"/>
      <c r="M118" s="26"/>
      <c r="N118" s="37" t="s">
        <v>1880</v>
      </c>
      <c r="O118" s="37" t="s">
        <v>1789</v>
      </c>
      <c r="S118" s="61"/>
      <c r="T118" s="60" t="s">
        <v>2067</v>
      </c>
      <c r="U118" s="60" t="s">
        <v>1739</v>
      </c>
      <c r="V118" s="60" t="s">
        <v>1778</v>
      </c>
      <c r="W118" s="60" t="s">
        <v>1832</v>
      </c>
      <c r="X118" s="62" t="s">
        <v>1932</v>
      </c>
      <c r="Y118" s="60"/>
    </row>
    <row r="119" spans="1:25" ht="13.8" thickBot="1">
      <c r="A119" s="50" t="s">
        <v>1758</v>
      </c>
      <c r="B119" s="47" t="s">
        <v>1799</v>
      </c>
      <c r="C119" s="47" t="s">
        <v>1882</v>
      </c>
      <c r="D119" s="51"/>
      <c r="F119"/>
      <c r="H119" s="44"/>
      <c r="I119" s="44"/>
      <c r="K119" s="39"/>
      <c r="L119" s="39"/>
      <c r="M119" s="26"/>
      <c r="N119" s="37" t="s">
        <v>1882</v>
      </c>
      <c r="O119" s="37"/>
      <c r="S119" s="61"/>
      <c r="T119" s="60" t="s">
        <v>2068</v>
      </c>
      <c r="U119" s="60" t="s">
        <v>1739</v>
      </c>
      <c r="V119" s="60" t="s">
        <v>1784</v>
      </c>
      <c r="W119" s="60" t="s">
        <v>1838</v>
      </c>
      <c r="X119" s="62" t="s">
        <v>1932</v>
      </c>
      <c r="Y119" s="60"/>
    </row>
    <row r="120" spans="1:25" ht="13.8" thickBot="1">
      <c r="A120" s="52" t="s">
        <v>1760</v>
      </c>
      <c r="B120" s="53"/>
      <c r="C120" s="53"/>
      <c r="D120" s="54"/>
      <c r="F120"/>
      <c r="H120" s="44"/>
      <c r="I120" s="44"/>
      <c r="K120" s="37"/>
      <c r="L120" s="37"/>
      <c r="M120" s="26"/>
      <c r="N120" s="37"/>
      <c r="O120" s="37"/>
      <c r="S120" s="61"/>
      <c r="T120" s="60" t="s">
        <v>2046</v>
      </c>
      <c r="U120" s="60" t="s">
        <v>1758</v>
      </c>
      <c r="V120" s="60" t="s">
        <v>1790</v>
      </c>
      <c r="W120" s="60" t="s">
        <v>1847</v>
      </c>
      <c r="X120" s="62" t="s">
        <v>1932</v>
      </c>
      <c r="Y120" s="60"/>
    </row>
    <row r="121" spans="1:25" ht="13.2">
      <c r="A121" s="49" t="s">
        <v>1762</v>
      </c>
      <c r="B121" s="41" t="s">
        <v>1803</v>
      </c>
      <c r="C121" s="55" t="s">
        <v>1901</v>
      </c>
      <c r="D121" s="56"/>
      <c r="F121"/>
      <c r="H121" s="44"/>
      <c r="I121" s="44"/>
      <c r="K121" s="37" t="s">
        <v>1803</v>
      </c>
      <c r="L121" s="37" t="s">
        <v>1901</v>
      </c>
      <c r="M121" s="26"/>
      <c r="N121" s="37" t="s">
        <v>1901</v>
      </c>
      <c r="O121" s="37"/>
      <c r="S121" s="61"/>
      <c r="T121" s="60" t="s">
        <v>1962</v>
      </c>
      <c r="U121" s="60" t="s">
        <v>1739</v>
      </c>
      <c r="V121" s="60" t="s">
        <v>1772</v>
      </c>
      <c r="W121" s="60" t="s">
        <v>1810</v>
      </c>
      <c r="X121" s="62" t="s">
        <v>1932</v>
      </c>
      <c r="Y121" s="60"/>
    </row>
    <row r="122" spans="1:25" ht="13.2">
      <c r="A122" s="49" t="s">
        <v>1762</v>
      </c>
      <c r="B122" s="41" t="s">
        <v>1803</v>
      </c>
      <c r="C122" s="42" t="s">
        <v>1902</v>
      </c>
      <c r="D122" s="40"/>
      <c r="F122"/>
      <c r="H122" s="44"/>
      <c r="I122" s="44"/>
      <c r="K122" s="37" t="s">
        <v>1803</v>
      </c>
      <c r="L122" s="37" t="s">
        <v>1902</v>
      </c>
      <c r="M122" s="26"/>
      <c r="N122" s="37" t="s">
        <v>1902</v>
      </c>
      <c r="O122" s="37"/>
      <c r="S122" s="61"/>
      <c r="T122" s="60" t="s">
        <v>1942</v>
      </c>
      <c r="U122" s="60" t="s">
        <v>1758</v>
      </c>
      <c r="V122" s="60" t="s">
        <v>1793</v>
      </c>
      <c r="W122" s="60" t="s">
        <v>1855</v>
      </c>
      <c r="X122" s="62" t="s">
        <v>1932</v>
      </c>
      <c r="Y122" s="60"/>
    </row>
    <row r="123" spans="1:25" ht="13.2">
      <c r="A123" s="49" t="s">
        <v>1762</v>
      </c>
      <c r="B123" s="41" t="s">
        <v>1803</v>
      </c>
      <c r="C123" s="43" t="s">
        <v>1857</v>
      </c>
      <c r="D123" s="40"/>
      <c r="F123"/>
      <c r="H123" s="44"/>
      <c r="I123" s="44"/>
      <c r="K123" s="37" t="s">
        <v>1803</v>
      </c>
      <c r="L123" s="37" t="s">
        <v>1857</v>
      </c>
      <c r="M123" s="26"/>
      <c r="N123" s="37" t="s">
        <v>1857</v>
      </c>
      <c r="O123" s="37"/>
      <c r="S123" s="61"/>
      <c r="T123" s="60" t="s">
        <v>1963</v>
      </c>
      <c r="U123" s="60" t="s">
        <v>1739</v>
      </c>
      <c r="V123" s="60" t="s">
        <v>1768</v>
      </c>
      <c r="W123" s="60" t="s">
        <v>1788</v>
      </c>
      <c r="X123" s="62" t="s">
        <v>1932</v>
      </c>
      <c r="Y123" s="60"/>
    </row>
    <row r="124" spans="1:25" ht="13.2">
      <c r="A124" s="49" t="s">
        <v>1762</v>
      </c>
      <c r="B124" s="42" t="s">
        <v>1803</v>
      </c>
      <c r="C124" s="42" t="s">
        <v>1903</v>
      </c>
      <c r="D124" s="45"/>
      <c r="F124"/>
      <c r="H124" s="44"/>
      <c r="I124" s="44"/>
      <c r="K124" s="37" t="s">
        <v>1803</v>
      </c>
      <c r="L124" s="37" t="s">
        <v>1903</v>
      </c>
      <c r="M124" s="26"/>
      <c r="N124" s="37" t="s">
        <v>1903</v>
      </c>
      <c r="O124" s="37"/>
      <c r="S124" s="61"/>
      <c r="T124" s="60" t="s">
        <v>1964</v>
      </c>
      <c r="U124" s="60" t="s">
        <v>1739</v>
      </c>
      <c r="V124" s="60" t="s">
        <v>1741</v>
      </c>
      <c r="W124" s="60" t="s">
        <v>1743</v>
      </c>
      <c r="X124" s="62" t="s">
        <v>1932</v>
      </c>
      <c r="Y124" s="60"/>
    </row>
    <row r="125" spans="1:25" ht="21">
      <c r="A125" s="49" t="s">
        <v>1762</v>
      </c>
      <c r="B125" s="41" t="s">
        <v>1806</v>
      </c>
      <c r="C125" s="43" t="s">
        <v>1904</v>
      </c>
      <c r="D125" s="40"/>
      <c r="F125"/>
      <c r="H125" s="44"/>
      <c r="I125" s="44"/>
      <c r="K125" s="37" t="s">
        <v>1806</v>
      </c>
      <c r="L125" s="37" t="s">
        <v>1904</v>
      </c>
      <c r="M125" s="26"/>
      <c r="N125" s="37" t="s">
        <v>1904</v>
      </c>
      <c r="O125" s="37"/>
      <c r="S125" s="61"/>
      <c r="T125" s="60" t="s">
        <v>2069</v>
      </c>
      <c r="U125" s="60" t="s">
        <v>1758</v>
      </c>
      <c r="V125" s="60" t="s">
        <v>1790</v>
      </c>
      <c r="W125" s="60" t="s">
        <v>1847</v>
      </c>
      <c r="X125" s="62" t="s">
        <v>1932</v>
      </c>
      <c r="Y125" s="60"/>
    </row>
    <row r="126" spans="1:25" ht="21">
      <c r="A126" s="49" t="s">
        <v>1762</v>
      </c>
      <c r="B126" s="42" t="s">
        <v>1806</v>
      </c>
      <c r="C126" s="42" t="s">
        <v>1905</v>
      </c>
      <c r="D126" s="45"/>
      <c r="F126"/>
      <c r="H126" s="44"/>
      <c r="I126" s="44"/>
      <c r="K126" s="37" t="s">
        <v>1806</v>
      </c>
      <c r="L126" s="37" t="s">
        <v>1905</v>
      </c>
      <c r="M126" s="26"/>
      <c r="N126" s="37" t="s">
        <v>1905</v>
      </c>
      <c r="O126" s="37"/>
      <c r="S126" s="61"/>
      <c r="T126" s="60" t="s">
        <v>1965</v>
      </c>
      <c r="U126" s="60" t="s">
        <v>1758</v>
      </c>
      <c r="V126" s="60" t="s">
        <v>1790</v>
      </c>
      <c r="W126" s="60" t="s">
        <v>1847</v>
      </c>
      <c r="X126" s="62" t="s">
        <v>1932</v>
      </c>
      <c r="Y126" s="60"/>
    </row>
    <row r="127" spans="1:25" ht="21">
      <c r="A127" s="49" t="s">
        <v>1762</v>
      </c>
      <c r="B127" s="41" t="s">
        <v>1809</v>
      </c>
      <c r="C127" s="43" t="s">
        <v>1906</v>
      </c>
      <c r="D127" s="40"/>
      <c r="F127"/>
      <c r="H127" s="44"/>
      <c r="I127" s="44"/>
      <c r="K127" s="37" t="s">
        <v>1809</v>
      </c>
      <c r="L127" s="37" t="s">
        <v>1906</v>
      </c>
      <c r="M127" s="26"/>
      <c r="N127" s="37" t="s">
        <v>1906</v>
      </c>
      <c r="O127" s="37"/>
      <c r="S127" s="61"/>
      <c r="T127" s="60" t="s">
        <v>2046</v>
      </c>
      <c r="U127" s="60" t="s">
        <v>1758</v>
      </c>
      <c r="V127" s="60" t="s">
        <v>1790</v>
      </c>
      <c r="W127" s="60" t="s">
        <v>1847</v>
      </c>
      <c r="X127" s="62" t="s">
        <v>1932</v>
      </c>
      <c r="Y127" s="60"/>
    </row>
    <row r="128" spans="1:25" ht="13.2">
      <c r="A128" s="49" t="s">
        <v>1762</v>
      </c>
      <c r="B128" s="41" t="s">
        <v>1809</v>
      </c>
      <c r="C128" s="43" t="s">
        <v>1907</v>
      </c>
      <c r="D128" s="40"/>
      <c r="F128"/>
      <c r="H128" s="44"/>
      <c r="I128" s="44"/>
      <c r="K128" s="37" t="s">
        <v>1809</v>
      </c>
      <c r="L128" s="37" t="s">
        <v>1907</v>
      </c>
      <c r="M128" s="26"/>
      <c r="N128" s="37" t="s">
        <v>1907</v>
      </c>
      <c r="O128" s="37"/>
      <c r="S128" s="61"/>
      <c r="T128" s="60" t="s">
        <v>1938</v>
      </c>
      <c r="U128" s="60" t="s">
        <v>1758</v>
      </c>
      <c r="V128" s="60" t="s">
        <v>1790</v>
      </c>
      <c r="W128" s="60" t="s">
        <v>1847</v>
      </c>
      <c r="X128" s="62" t="s">
        <v>1932</v>
      </c>
      <c r="Y128" s="60"/>
    </row>
    <row r="129" spans="1:25" ht="13.2">
      <c r="A129" s="49" t="s">
        <v>1762</v>
      </c>
      <c r="B129" s="42" t="s">
        <v>1809</v>
      </c>
      <c r="C129" s="42" t="s">
        <v>1908</v>
      </c>
      <c r="D129" s="45"/>
      <c r="F129"/>
      <c r="H129" s="44"/>
      <c r="I129" s="44"/>
      <c r="K129" s="37" t="s">
        <v>1809</v>
      </c>
      <c r="L129" s="37" t="s">
        <v>1908</v>
      </c>
      <c r="M129" s="26"/>
      <c r="N129" s="37" t="s">
        <v>1908</v>
      </c>
      <c r="O129" s="37"/>
      <c r="S129" s="61"/>
      <c r="T129" s="60" t="s">
        <v>1944</v>
      </c>
      <c r="U129" s="60" t="s">
        <v>1758</v>
      </c>
      <c r="V129" s="60" t="s">
        <v>1790</v>
      </c>
      <c r="W129" s="60" t="s">
        <v>1847</v>
      </c>
      <c r="X129" s="62" t="s">
        <v>1932</v>
      </c>
      <c r="Y129" s="60"/>
    </row>
    <row r="130" spans="1:25" ht="13.2">
      <c r="A130" s="49" t="s">
        <v>1762</v>
      </c>
      <c r="B130" s="41" t="s">
        <v>1812</v>
      </c>
      <c r="C130" s="41" t="s">
        <v>1909</v>
      </c>
      <c r="D130" s="40" t="s">
        <v>1910</v>
      </c>
      <c r="F130"/>
      <c r="H130" s="44"/>
      <c r="I130" s="44"/>
      <c r="K130" s="37" t="s">
        <v>1812</v>
      </c>
      <c r="L130" s="37" t="s">
        <v>1909</v>
      </c>
      <c r="M130" s="26"/>
      <c r="N130" s="37" t="s">
        <v>1909</v>
      </c>
      <c r="O130" s="37" t="s">
        <v>1910</v>
      </c>
      <c r="S130" s="61"/>
      <c r="T130" s="60" t="s">
        <v>1966</v>
      </c>
      <c r="U130" s="60" t="s">
        <v>1739</v>
      </c>
      <c r="V130" s="60" t="s">
        <v>1768</v>
      </c>
      <c r="W130" s="60" t="s">
        <v>1788</v>
      </c>
      <c r="X130" s="62" t="s">
        <v>1932</v>
      </c>
      <c r="Y130" s="60"/>
    </row>
    <row r="131" spans="1:25" ht="13.2">
      <c r="A131" s="49" t="s">
        <v>1762</v>
      </c>
      <c r="B131" s="41" t="s">
        <v>1812</v>
      </c>
      <c r="C131" s="41" t="s">
        <v>1909</v>
      </c>
      <c r="D131" s="40" t="s">
        <v>1911</v>
      </c>
      <c r="F131"/>
      <c r="H131" s="44"/>
      <c r="I131" s="44"/>
      <c r="K131" s="37" t="s">
        <v>1812</v>
      </c>
      <c r="L131" s="37" t="s">
        <v>1909</v>
      </c>
      <c r="M131" s="26"/>
      <c r="N131" s="37" t="s">
        <v>1909</v>
      </c>
      <c r="O131" s="37" t="s">
        <v>1911</v>
      </c>
      <c r="S131" s="61"/>
      <c r="T131" s="60" t="s">
        <v>1966</v>
      </c>
      <c r="U131" s="60" t="s">
        <v>1739</v>
      </c>
      <c r="V131" s="60" t="s">
        <v>1768</v>
      </c>
      <c r="W131" s="60" t="s">
        <v>1788</v>
      </c>
      <c r="X131" s="62" t="s">
        <v>1932</v>
      </c>
      <c r="Y131" s="60"/>
    </row>
    <row r="132" spans="1:25" ht="13.2">
      <c r="A132" s="49" t="s">
        <v>1762</v>
      </c>
      <c r="B132" s="41" t="s">
        <v>1812</v>
      </c>
      <c r="C132" s="41" t="s">
        <v>1909</v>
      </c>
      <c r="D132" s="40" t="s">
        <v>1912</v>
      </c>
      <c r="F132"/>
      <c r="H132" s="44"/>
      <c r="I132" s="44"/>
      <c r="K132" s="37" t="s">
        <v>1812</v>
      </c>
      <c r="L132" s="37" t="s">
        <v>1909</v>
      </c>
      <c r="M132" s="26"/>
      <c r="N132" s="37" t="s">
        <v>1909</v>
      </c>
      <c r="O132" s="37" t="s">
        <v>1912</v>
      </c>
      <c r="S132" s="61"/>
      <c r="T132" s="60" t="s">
        <v>2047</v>
      </c>
      <c r="U132" s="60" t="s">
        <v>1758</v>
      </c>
      <c r="V132" s="60" t="s">
        <v>1790</v>
      </c>
      <c r="W132" s="60" t="s">
        <v>1847</v>
      </c>
      <c r="X132" s="60" t="s">
        <v>1893</v>
      </c>
      <c r="Y132" s="60"/>
    </row>
    <row r="133" spans="1:25" ht="13.2">
      <c r="A133" s="49" t="s">
        <v>1762</v>
      </c>
      <c r="B133" s="41" t="s">
        <v>1812</v>
      </c>
      <c r="C133" s="41" t="s">
        <v>1909</v>
      </c>
      <c r="D133" s="40" t="s">
        <v>1789</v>
      </c>
      <c r="F133"/>
      <c r="H133" s="44"/>
      <c r="I133" s="44"/>
      <c r="K133" s="37" t="s">
        <v>1812</v>
      </c>
      <c r="L133" s="37" t="s">
        <v>1909</v>
      </c>
      <c r="M133" s="26"/>
      <c r="N133" s="37" t="s">
        <v>1909</v>
      </c>
      <c r="O133" s="37" t="s">
        <v>1789</v>
      </c>
      <c r="S133" s="61"/>
      <c r="T133" s="60" t="s">
        <v>1967</v>
      </c>
      <c r="U133" s="60" t="s">
        <v>1758</v>
      </c>
      <c r="V133" s="60" t="s">
        <v>1793</v>
      </c>
      <c r="W133" s="60" t="s">
        <v>1855</v>
      </c>
      <c r="X133" s="62" t="s">
        <v>1932</v>
      </c>
      <c r="Y133" s="60"/>
    </row>
    <row r="134" spans="1:25" ht="13.2">
      <c r="A134" s="49" t="s">
        <v>1762</v>
      </c>
      <c r="B134" s="41" t="s">
        <v>1812</v>
      </c>
      <c r="C134" s="41" t="s">
        <v>1913</v>
      </c>
      <c r="D134" s="40" t="s">
        <v>1914</v>
      </c>
      <c r="F134"/>
      <c r="H134" s="44"/>
      <c r="I134" s="44"/>
      <c r="K134" s="37" t="s">
        <v>1812</v>
      </c>
      <c r="L134" s="37" t="s">
        <v>1913</v>
      </c>
      <c r="M134" s="26"/>
      <c r="N134" s="37" t="s">
        <v>1913</v>
      </c>
      <c r="O134" s="37" t="s">
        <v>1914</v>
      </c>
      <c r="S134" s="61"/>
      <c r="T134" s="60" t="s">
        <v>2070</v>
      </c>
      <c r="U134" s="60" t="s">
        <v>1758</v>
      </c>
      <c r="V134" s="60" t="s">
        <v>1790</v>
      </c>
      <c r="W134" s="60" t="s">
        <v>1847</v>
      </c>
      <c r="X134" s="62" t="s">
        <v>1932</v>
      </c>
      <c r="Y134" s="60"/>
    </row>
    <row r="135" spans="1:25" ht="13.2">
      <c r="A135" s="49" t="s">
        <v>1762</v>
      </c>
      <c r="B135" s="41" t="s">
        <v>1812</v>
      </c>
      <c r="C135" s="41" t="s">
        <v>1913</v>
      </c>
      <c r="D135" s="40" t="s">
        <v>1915</v>
      </c>
      <c r="F135"/>
      <c r="H135" s="44"/>
      <c r="I135" s="44"/>
      <c r="K135" s="37" t="s">
        <v>1812</v>
      </c>
      <c r="L135" s="37" t="s">
        <v>1913</v>
      </c>
      <c r="M135" s="26"/>
      <c r="N135" s="37" t="s">
        <v>1913</v>
      </c>
      <c r="O135" s="37" t="s">
        <v>1915</v>
      </c>
      <c r="S135" s="61"/>
      <c r="T135" s="60" t="s">
        <v>1968</v>
      </c>
      <c r="U135" s="60" t="s">
        <v>1758</v>
      </c>
      <c r="V135" s="60" t="s">
        <v>1793</v>
      </c>
      <c r="W135" s="60" t="s">
        <v>1850</v>
      </c>
      <c r="X135" s="62" t="s">
        <v>1932</v>
      </c>
      <c r="Y135" s="60"/>
    </row>
    <row r="136" spans="1:25" ht="13.2">
      <c r="A136" s="49" t="s">
        <v>1762</v>
      </c>
      <c r="B136" s="41" t="s">
        <v>1812</v>
      </c>
      <c r="C136" s="41" t="s">
        <v>1913</v>
      </c>
      <c r="D136" s="40" t="s">
        <v>1916</v>
      </c>
      <c r="F136"/>
      <c r="H136" s="44"/>
      <c r="I136" s="44"/>
      <c r="K136" s="37" t="s">
        <v>1812</v>
      </c>
      <c r="L136" s="37" t="s">
        <v>1913</v>
      </c>
      <c r="M136" s="26"/>
      <c r="N136" s="37" t="s">
        <v>1913</v>
      </c>
      <c r="O136" s="37" t="s">
        <v>1916</v>
      </c>
      <c r="S136" s="61"/>
      <c r="T136" s="60" t="s">
        <v>2071</v>
      </c>
      <c r="U136" s="60" t="s">
        <v>1758</v>
      </c>
      <c r="V136" s="60" t="s">
        <v>1796</v>
      </c>
      <c r="W136" s="60" t="s">
        <v>1870</v>
      </c>
      <c r="X136" s="62" t="s">
        <v>1932</v>
      </c>
      <c r="Y136" s="60"/>
    </row>
    <row r="137" spans="1:25" ht="13.2">
      <c r="A137" s="49" t="s">
        <v>1762</v>
      </c>
      <c r="B137" s="41" t="s">
        <v>1812</v>
      </c>
      <c r="C137" s="41" t="s">
        <v>1913</v>
      </c>
      <c r="D137" s="40" t="s">
        <v>1917</v>
      </c>
      <c r="F137"/>
      <c r="H137" s="44"/>
      <c r="I137" s="44"/>
      <c r="K137" s="37" t="s">
        <v>1812</v>
      </c>
      <c r="L137" s="37" t="s">
        <v>1913</v>
      </c>
      <c r="M137" s="26"/>
      <c r="N137" s="37" t="s">
        <v>1913</v>
      </c>
      <c r="O137" s="37" t="s">
        <v>1917</v>
      </c>
      <c r="S137" s="61"/>
      <c r="T137" s="60" t="s">
        <v>1969</v>
      </c>
      <c r="U137" s="60" t="s">
        <v>1739</v>
      </c>
      <c r="V137" s="60" t="s">
        <v>1772</v>
      </c>
      <c r="W137" s="60" t="s">
        <v>1816</v>
      </c>
      <c r="X137" s="62" t="s">
        <v>1932</v>
      </c>
      <c r="Y137" s="60"/>
    </row>
    <row r="138" spans="1:25" ht="13.2">
      <c r="A138" s="49" t="s">
        <v>1762</v>
      </c>
      <c r="B138" s="41" t="s">
        <v>1812</v>
      </c>
      <c r="C138" s="42" t="s">
        <v>1913</v>
      </c>
      <c r="D138" s="40" t="s">
        <v>1789</v>
      </c>
      <c r="F138"/>
      <c r="H138" s="44"/>
      <c r="I138" s="44"/>
      <c r="K138" s="37" t="s">
        <v>1812</v>
      </c>
      <c r="L138" s="37" t="s">
        <v>1913</v>
      </c>
      <c r="M138" s="26"/>
      <c r="N138" s="37" t="s">
        <v>1913</v>
      </c>
      <c r="O138" s="37" t="s">
        <v>1789</v>
      </c>
      <c r="S138" s="61"/>
      <c r="T138" s="60" t="s">
        <v>1938</v>
      </c>
      <c r="U138" s="60" t="s">
        <v>1758</v>
      </c>
      <c r="V138" s="60" t="s">
        <v>1790</v>
      </c>
      <c r="W138" s="60" t="s">
        <v>1847</v>
      </c>
      <c r="X138" s="62" t="s">
        <v>1932</v>
      </c>
      <c r="Y138" s="60"/>
    </row>
    <row r="139" spans="1:25" ht="13.2">
      <c r="A139" s="49" t="s">
        <v>1762</v>
      </c>
      <c r="B139" s="42" t="s">
        <v>1812</v>
      </c>
      <c r="C139" s="42" t="s">
        <v>1918</v>
      </c>
      <c r="D139" s="45"/>
      <c r="F139"/>
      <c r="H139" s="44"/>
      <c r="I139" s="44"/>
      <c r="K139" s="37" t="s">
        <v>1812</v>
      </c>
      <c r="L139" s="37" t="s">
        <v>1918</v>
      </c>
      <c r="M139" s="26"/>
      <c r="N139" s="37" t="s">
        <v>1918</v>
      </c>
      <c r="O139" s="37"/>
      <c r="S139" s="61"/>
      <c r="T139" s="60" t="s">
        <v>2072</v>
      </c>
      <c r="U139" s="60" t="s">
        <v>1739</v>
      </c>
      <c r="V139" s="60" t="s">
        <v>1768</v>
      </c>
      <c r="W139" s="60" t="s">
        <v>1794</v>
      </c>
      <c r="X139" s="62" t="s">
        <v>1932</v>
      </c>
      <c r="Y139" s="60"/>
    </row>
    <row r="140" spans="1:25" ht="21">
      <c r="A140" s="49" t="s">
        <v>1762</v>
      </c>
      <c r="B140" s="41" t="s">
        <v>1815</v>
      </c>
      <c r="C140" s="43" t="s">
        <v>1919</v>
      </c>
      <c r="D140" s="40"/>
      <c r="F140"/>
      <c r="H140" s="44"/>
      <c r="I140" s="44"/>
      <c r="K140" s="37" t="s">
        <v>1815</v>
      </c>
      <c r="L140" s="37" t="s">
        <v>1919</v>
      </c>
      <c r="M140" s="26"/>
      <c r="N140" s="37" t="s">
        <v>1919</v>
      </c>
      <c r="O140" s="37"/>
      <c r="S140" s="61"/>
      <c r="T140" s="60" t="s">
        <v>2046</v>
      </c>
      <c r="U140" s="60" t="s">
        <v>1758</v>
      </c>
      <c r="V140" s="60" t="s">
        <v>1790</v>
      </c>
      <c r="W140" s="60" t="s">
        <v>1847</v>
      </c>
      <c r="X140" s="62" t="s">
        <v>1932</v>
      </c>
      <c r="Y140" s="60"/>
    </row>
    <row r="141" spans="1:25" ht="21">
      <c r="A141" s="49" t="s">
        <v>1762</v>
      </c>
      <c r="B141" s="41" t="s">
        <v>1815</v>
      </c>
      <c r="C141" s="43" t="s">
        <v>1920</v>
      </c>
      <c r="D141" s="40"/>
      <c r="F141"/>
      <c r="H141" s="44"/>
      <c r="I141" s="44"/>
      <c r="K141" s="37" t="s">
        <v>1815</v>
      </c>
      <c r="L141" s="37" t="s">
        <v>1920</v>
      </c>
      <c r="M141" s="26"/>
      <c r="N141" s="37" t="s">
        <v>1920</v>
      </c>
      <c r="O141" s="37"/>
      <c r="S141" s="61"/>
      <c r="T141" s="60" t="s">
        <v>2073</v>
      </c>
      <c r="U141" s="60" t="s">
        <v>1739</v>
      </c>
      <c r="V141" s="60" t="s">
        <v>1772</v>
      </c>
      <c r="W141" s="60" t="s">
        <v>1813</v>
      </c>
      <c r="X141" s="62" t="s">
        <v>1932</v>
      </c>
      <c r="Y141" s="60"/>
    </row>
    <row r="142" spans="1:25" ht="21">
      <c r="A142" s="49" t="s">
        <v>1762</v>
      </c>
      <c r="B142" s="41" t="s">
        <v>1815</v>
      </c>
      <c r="C142" s="43" t="s">
        <v>1872</v>
      </c>
      <c r="D142" s="40"/>
      <c r="F142"/>
      <c r="H142" s="44"/>
      <c r="I142" s="44"/>
      <c r="K142" s="37" t="s">
        <v>1815</v>
      </c>
      <c r="L142" s="37" t="s">
        <v>1872</v>
      </c>
      <c r="M142" s="26"/>
      <c r="N142" s="37" t="s">
        <v>1872</v>
      </c>
      <c r="O142" s="37"/>
      <c r="S142" s="61"/>
      <c r="T142" s="60" t="s">
        <v>2074</v>
      </c>
      <c r="U142" s="60" t="s">
        <v>1739</v>
      </c>
      <c r="V142" s="60" t="s">
        <v>1772</v>
      </c>
      <c r="W142" s="60" t="s">
        <v>1813</v>
      </c>
      <c r="X142" s="62" t="s">
        <v>1932</v>
      </c>
      <c r="Y142" s="60"/>
    </row>
    <row r="143" spans="1:25" ht="21">
      <c r="A143" s="49" t="s">
        <v>1762</v>
      </c>
      <c r="B143" s="41" t="s">
        <v>1815</v>
      </c>
      <c r="C143" s="43" t="s">
        <v>1878</v>
      </c>
      <c r="D143" s="40"/>
      <c r="F143"/>
      <c r="H143" s="44"/>
      <c r="I143" s="44"/>
      <c r="K143" s="37" t="s">
        <v>1815</v>
      </c>
      <c r="L143" s="37" t="s">
        <v>1878</v>
      </c>
      <c r="M143" s="26"/>
      <c r="N143" s="37" t="s">
        <v>1878</v>
      </c>
      <c r="O143" s="37"/>
      <c r="S143" s="61"/>
      <c r="T143" s="60" t="s">
        <v>2075</v>
      </c>
      <c r="U143" s="60" t="s">
        <v>1739</v>
      </c>
      <c r="V143" s="60" t="s">
        <v>1768</v>
      </c>
      <c r="W143" s="60" t="s">
        <v>1779</v>
      </c>
      <c r="X143" s="62" t="s">
        <v>1932</v>
      </c>
      <c r="Y143" s="60"/>
    </row>
    <row r="144" spans="1:25" ht="21">
      <c r="A144" s="49" t="s">
        <v>1762</v>
      </c>
      <c r="B144" s="41" t="s">
        <v>1815</v>
      </c>
      <c r="C144" s="43" t="s">
        <v>1921</v>
      </c>
      <c r="D144" s="40"/>
      <c r="F144"/>
      <c r="H144" s="44"/>
      <c r="I144" s="44"/>
      <c r="K144" s="37" t="s">
        <v>1815</v>
      </c>
      <c r="L144" s="37" t="s">
        <v>1921</v>
      </c>
      <c r="M144" s="26"/>
      <c r="N144" s="37" t="s">
        <v>1921</v>
      </c>
      <c r="O144" s="37"/>
      <c r="S144" s="61"/>
      <c r="T144" s="60" t="s">
        <v>1970</v>
      </c>
      <c r="U144" s="60" t="s">
        <v>1758</v>
      </c>
      <c r="V144" s="60" t="s">
        <v>1790</v>
      </c>
      <c r="W144" s="60" t="s">
        <v>1847</v>
      </c>
      <c r="X144" s="60" t="s">
        <v>1893</v>
      </c>
      <c r="Y144" s="60"/>
    </row>
    <row r="145" spans="1:25" ht="21.6" thickBot="1">
      <c r="A145" s="50" t="s">
        <v>1762</v>
      </c>
      <c r="B145" s="47" t="s">
        <v>1815</v>
      </c>
      <c r="C145" s="47" t="s">
        <v>1922</v>
      </c>
      <c r="D145" s="51"/>
      <c r="F145"/>
      <c r="H145" s="44"/>
      <c r="I145" s="44"/>
      <c r="K145" s="37" t="s">
        <v>1815</v>
      </c>
      <c r="L145" s="37" t="s">
        <v>1922</v>
      </c>
      <c r="M145" s="26"/>
      <c r="N145" s="37" t="s">
        <v>1922</v>
      </c>
      <c r="O145" s="37"/>
      <c r="S145" s="61"/>
      <c r="T145" s="60" t="s">
        <v>2076</v>
      </c>
      <c r="U145" s="60" t="s">
        <v>1739</v>
      </c>
      <c r="V145" s="60" t="s">
        <v>1768</v>
      </c>
      <c r="W145" s="60" t="s">
        <v>1788</v>
      </c>
      <c r="X145" s="62" t="s">
        <v>1932</v>
      </c>
      <c r="Y145" s="60"/>
    </row>
    <row r="146" spans="1:25" ht="13.2">
      <c r="A146" s="49" t="s">
        <v>1765</v>
      </c>
      <c r="B146" s="55" t="s">
        <v>1817</v>
      </c>
      <c r="C146" s="55"/>
      <c r="D146" s="56"/>
      <c r="F146"/>
      <c r="H146" s="44"/>
      <c r="I146" s="44"/>
      <c r="K146" s="37" t="s">
        <v>1817</v>
      </c>
      <c r="L146" s="37"/>
      <c r="M146" s="26"/>
      <c r="N146" s="37"/>
      <c r="O146" s="37"/>
      <c r="S146" s="61"/>
      <c r="T146" s="60" t="s">
        <v>2046</v>
      </c>
      <c r="U146" s="60" t="s">
        <v>1758</v>
      </c>
      <c r="V146" s="60" t="s">
        <v>1790</v>
      </c>
      <c r="W146" s="60" t="s">
        <v>1847</v>
      </c>
      <c r="X146" s="62" t="s">
        <v>1932</v>
      </c>
      <c r="Y146" s="60"/>
    </row>
    <row r="147" spans="1:25" ht="13.2">
      <c r="A147" s="49" t="s">
        <v>1765</v>
      </c>
      <c r="B147" s="43" t="s">
        <v>1819</v>
      </c>
      <c r="C147" s="43"/>
      <c r="D147" s="40"/>
      <c r="F147"/>
      <c r="H147" s="44"/>
      <c r="I147" s="44"/>
      <c r="K147" s="37" t="s">
        <v>1819</v>
      </c>
      <c r="L147" s="37"/>
      <c r="M147" s="26"/>
      <c r="N147" s="37"/>
      <c r="O147" s="37"/>
      <c r="S147" s="61"/>
      <c r="T147" s="60" t="s">
        <v>2046</v>
      </c>
      <c r="U147" s="60" t="s">
        <v>1758</v>
      </c>
      <c r="V147" s="60" t="s">
        <v>1790</v>
      </c>
      <c r="W147" s="60" t="s">
        <v>1847</v>
      </c>
      <c r="X147" s="62" t="s">
        <v>1932</v>
      </c>
      <c r="Y147" s="60"/>
    </row>
    <row r="148" spans="1:25" ht="13.2">
      <c r="A148" s="49" t="s">
        <v>1765</v>
      </c>
      <c r="B148" s="43" t="s">
        <v>1822</v>
      </c>
      <c r="C148" s="43"/>
      <c r="D148" s="40"/>
      <c r="F148"/>
      <c r="H148" s="44"/>
      <c r="I148" s="44"/>
      <c r="K148" s="37" t="s">
        <v>1822</v>
      </c>
      <c r="L148" s="37"/>
      <c r="M148" s="26"/>
      <c r="N148" s="37"/>
      <c r="O148" s="37"/>
      <c r="S148" s="61"/>
      <c r="T148" s="60" t="s">
        <v>2072</v>
      </c>
      <c r="U148" s="60" t="s">
        <v>1739</v>
      </c>
      <c r="V148" s="60" t="s">
        <v>1768</v>
      </c>
      <c r="W148" s="60" t="s">
        <v>1794</v>
      </c>
      <c r="X148" s="62" t="s">
        <v>1932</v>
      </c>
      <c r="Y148" s="60"/>
    </row>
    <row r="149" spans="1:25" ht="21.6" thickBot="1">
      <c r="A149" s="50" t="s">
        <v>1765</v>
      </c>
      <c r="B149" s="47" t="s">
        <v>1825</v>
      </c>
      <c r="C149" s="47"/>
      <c r="D149" s="51"/>
      <c r="F149"/>
      <c r="H149" s="44"/>
      <c r="I149" s="44"/>
      <c r="K149" s="37" t="s">
        <v>1825</v>
      </c>
      <c r="L149" s="37"/>
      <c r="M149" s="26"/>
      <c r="N149" s="37"/>
      <c r="O149" s="37"/>
      <c r="S149" s="61"/>
      <c r="T149" s="60" t="s">
        <v>1944</v>
      </c>
      <c r="U149" s="60" t="s">
        <v>1758</v>
      </c>
      <c r="V149" s="60" t="s">
        <v>1790</v>
      </c>
      <c r="W149" s="60" t="s">
        <v>1847</v>
      </c>
      <c r="X149" s="62" t="s">
        <v>1932</v>
      </c>
      <c r="Y149" s="60"/>
    </row>
    <row r="150" spans="1:25" ht="13.8" thickBot="1">
      <c r="A150" s="50" t="s">
        <v>1767</v>
      </c>
      <c r="B150" s="47"/>
      <c r="C150" s="47"/>
      <c r="D150" s="51"/>
      <c r="F150"/>
      <c r="H150" s="44"/>
      <c r="I150" s="44"/>
      <c r="K150" s="37"/>
      <c r="L150" s="37"/>
      <c r="M150" s="26"/>
      <c r="N150" s="37"/>
      <c r="O150" s="37"/>
      <c r="S150" s="61"/>
      <c r="T150" s="60" t="s">
        <v>2077</v>
      </c>
      <c r="U150" s="60" t="s">
        <v>1758</v>
      </c>
      <c r="V150" s="60" t="s">
        <v>1796</v>
      </c>
      <c r="W150" s="60" t="s">
        <v>1870</v>
      </c>
      <c r="X150" s="62" t="s">
        <v>1932</v>
      </c>
      <c r="Y150" s="60"/>
    </row>
    <row r="151" spans="1:25">
      <c r="S151" s="61"/>
      <c r="T151" s="60" t="s">
        <v>1944</v>
      </c>
      <c r="U151" s="60" t="s">
        <v>1758</v>
      </c>
      <c r="V151" s="60" t="s">
        <v>1790</v>
      </c>
      <c r="W151" s="60" t="s">
        <v>1847</v>
      </c>
      <c r="X151" s="62" t="s">
        <v>1932</v>
      </c>
      <c r="Y151" s="60"/>
    </row>
    <row r="152" spans="1:25">
      <c r="T152" s="63" t="s">
        <v>2078</v>
      </c>
      <c r="U152" s="63" t="s">
        <v>1739</v>
      </c>
      <c r="V152" s="63" t="s">
        <v>1781</v>
      </c>
      <c r="W152" s="63" t="s">
        <v>1836</v>
      </c>
      <c r="X152" s="62" t="s">
        <v>1932</v>
      </c>
    </row>
    <row r="153" spans="1:25">
      <c r="T153" s="63" t="s">
        <v>2079</v>
      </c>
      <c r="U153" s="63" t="s">
        <v>1758</v>
      </c>
      <c r="V153" s="63" t="s">
        <v>1796</v>
      </c>
      <c r="W153" s="63" t="s">
        <v>1870</v>
      </c>
      <c r="X153" s="62" t="s">
        <v>1932</v>
      </c>
    </row>
    <row r="154" spans="1:25">
      <c r="T154" s="63" t="s">
        <v>2046</v>
      </c>
      <c r="U154" s="63" t="s">
        <v>1758</v>
      </c>
      <c r="V154" s="63" t="s">
        <v>1790</v>
      </c>
      <c r="W154" s="63" t="s">
        <v>1847</v>
      </c>
      <c r="X154" s="62" t="s">
        <v>1932</v>
      </c>
    </row>
    <row r="155" spans="1:25">
      <c r="T155" s="63" t="s">
        <v>2046</v>
      </c>
      <c r="U155" s="63" t="s">
        <v>1758</v>
      </c>
      <c r="V155" s="63" t="s">
        <v>1790</v>
      </c>
      <c r="W155" s="63" t="s">
        <v>1847</v>
      </c>
      <c r="X155" s="62" t="s">
        <v>1932</v>
      </c>
    </row>
    <row r="156" spans="1:25">
      <c r="T156" s="63" t="s">
        <v>2080</v>
      </c>
      <c r="U156" s="63" t="s">
        <v>1758</v>
      </c>
      <c r="V156" s="63" t="s">
        <v>1796</v>
      </c>
      <c r="W156" s="63" t="s">
        <v>1870</v>
      </c>
      <c r="X156" s="62" t="s">
        <v>1932</v>
      </c>
    </row>
    <row r="157" spans="1:25">
      <c r="T157" s="63" t="s">
        <v>1942</v>
      </c>
      <c r="U157" s="63" t="s">
        <v>1758</v>
      </c>
      <c r="V157" s="63" t="s">
        <v>1790</v>
      </c>
      <c r="W157" s="63" t="s">
        <v>1847</v>
      </c>
      <c r="X157" s="62" t="s">
        <v>1932</v>
      </c>
    </row>
    <row r="158" spans="1:25">
      <c r="T158" s="63" t="s">
        <v>2081</v>
      </c>
      <c r="U158" s="63" t="s">
        <v>1758</v>
      </c>
      <c r="V158" s="63" t="s">
        <v>1796</v>
      </c>
      <c r="W158" s="63" t="s">
        <v>1870</v>
      </c>
      <c r="X158" s="62" t="s">
        <v>1932</v>
      </c>
    </row>
    <row r="159" spans="1:25">
      <c r="T159" s="63" t="s">
        <v>2046</v>
      </c>
      <c r="U159" s="63" t="s">
        <v>1758</v>
      </c>
      <c r="V159" s="63" t="s">
        <v>1790</v>
      </c>
      <c r="W159" s="63" t="s">
        <v>1847</v>
      </c>
      <c r="X159" s="62" t="s">
        <v>1932</v>
      </c>
    </row>
    <row r="160" spans="1:25">
      <c r="T160" s="63" t="s">
        <v>2046</v>
      </c>
      <c r="U160" s="63" t="s">
        <v>1758</v>
      </c>
      <c r="V160" s="63" t="s">
        <v>1790</v>
      </c>
      <c r="W160" s="63" t="s">
        <v>1847</v>
      </c>
      <c r="X160" s="62" t="s">
        <v>1932</v>
      </c>
    </row>
    <row r="161" spans="20:24">
      <c r="T161" s="63" t="s">
        <v>1938</v>
      </c>
      <c r="U161" s="63" t="s">
        <v>1758</v>
      </c>
      <c r="V161" s="63" t="s">
        <v>1790</v>
      </c>
      <c r="W161" s="63" t="s">
        <v>1847</v>
      </c>
      <c r="X161" s="62" t="s">
        <v>1932</v>
      </c>
    </row>
    <row r="162" spans="20:24">
      <c r="T162" s="63" t="s">
        <v>1938</v>
      </c>
      <c r="U162" s="63" t="s">
        <v>1758</v>
      </c>
      <c r="V162" s="63" t="s">
        <v>1790</v>
      </c>
      <c r="W162" s="63" t="s">
        <v>1847</v>
      </c>
      <c r="X162" s="62" t="s">
        <v>1932</v>
      </c>
    </row>
    <row r="163" spans="20:24">
      <c r="T163" s="63" t="s">
        <v>2046</v>
      </c>
      <c r="U163" s="63" t="s">
        <v>1758</v>
      </c>
      <c r="V163" s="63" t="s">
        <v>1790</v>
      </c>
      <c r="W163" s="63" t="s">
        <v>1847</v>
      </c>
      <c r="X163" s="62" t="s">
        <v>1932</v>
      </c>
    </row>
    <row r="164" spans="20:24">
      <c r="T164" s="63" t="s">
        <v>1944</v>
      </c>
      <c r="U164" s="63" t="s">
        <v>1758</v>
      </c>
      <c r="V164" s="63" t="s">
        <v>1790</v>
      </c>
      <c r="W164" s="63" t="s">
        <v>1847</v>
      </c>
      <c r="X164" s="62" t="s">
        <v>1932</v>
      </c>
    </row>
    <row r="165" spans="20:24">
      <c r="T165" s="63" t="s">
        <v>1944</v>
      </c>
      <c r="U165" s="63" t="s">
        <v>1758</v>
      </c>
      <c r="V165" s="63" t="s">
        <v>1790</v>
      </c>
      <c r="W165" s="63" t="s">
        <v>1847</v>
      </c>
      <c r="X165" s="62" t="s">
        <v>1932</v>
      </c>
    </row>
    <row r="166" spans="20:24">
      <c r="T166" s="63" t="s">
        <v>2046</v>
      </c>
      <c r="U166" s="63" t="s">
        <v>1758</v>
      </c>
      <c r="V166" s="63" t="s">
        <v>1790</v>
      </c>
      <c r="W166" s="63" t="s">
        <v>1847</v>
      </c>
      <c r="X166" s="62" t="s">
        <v>1932</v>
      </c>
    </row>
    <row r="167" spans="20:24">
      <c r="T167" s="63" t="s">
        <v>2046</v>
      </c>
      <c r="U167" s="63" t="s">
        <v>1758</v>
      </c>
      <c r="V167" s="63" t="s">
        <v>1790</v>
      </c>
      <c r="W167" s="63" t="s">
        <v>1847</v>
      </c>
      <c r="X167" s="62" t="s">
        <v>1932</v>
      </c>
    </row>
    <row r="168" spans="20:24">
      <c r="T168" s="63" t="s">
        <v>2046</v>
      </c>
      <c r="U168" s="63" t="s">
        <v>1758</v>
      </c>
      <c r="V168" s="63" t="s">
        <v>1790</v>
      </c>
      <c r="W168" s="63" t="s">
        <v>1847</v>
      </c>
      <c r="X168" s="62" t="s">
        <v>1932</v>
      </c>
    </row>
    <row r="169" spans="20:24">
      <c r="T169" s="63" t="s">
        <v>2046</v>
      </c>
      <c r="U169" s="63" t="s">
        <v>1758</v>
      </c>
      <c r="V169" s="63" t="s">
        <v>1790</v>
      </c>
      <c r="W169" s="63" t="s">
        <v>1847</v>
      </c>
      <c r="X169" s="62" t="s">
        <v>1932</v>
      </c>
    </row>
    <row r="170" spans="20:24">
      <c r="T170" s="63" t="s">
        <v>1971</v>
      </c>
      <c r="U170" s="63" t="s">
        <v>1758</v>
      </c>
      <c r="V170" s="63" t="s">
        <v>1793</v>
      </c>
      <c r="W170" s="63" t="s">
        <v>1855</v>
      </c>
      <c r="X170" s="62" t="s">
        <v>1932</v>
      </c>
    </row>
    <row r="171" spans="20:24">
      <c r="T171" s="63" t="s">
        <v>2070</v>
      </c>
      <c r="U171" s="63" t="s">
        <v>1758</v>
      </c>
      <c r="V171" s="63" t="s">
        <v>1796</v>
      </c>
      <c r="W171" s="63" t="s">
        <v>1870</v>
      </c>
      <c r="X171" s="62" t="s">
        <v>1932</v>
      </c>
    </row>
    <row r="172" spans="20:24">
      <c r="T172" s="63" t="s">
        <v>1971</v>
      </c>
      <c r="U172" s="63" t="s">
        <v>1758</v>
      </c>
      <c r="V172" s="63" t="s">
        <v>1793</v>
      </c>
      <c r="W172" s="63" t="s">
        <v>1855</v>
      </c>
      <c r="X172" s="62" t="s">
        <v>1932</v>
      </c>
    </row>
    <row r="173" spans="20:24">
      <c r="T173" s="63" t="s">
        <v>1972</v>
      </c>
      <c r="U173" s="63" t="s">
        <v>1739</v>
      </c>
      <c r="V173" s="63" t="s">
        <v>1776</v>
      </c>
      <c r="W173" s="63" t="s">
        <v>1830</v>
      </c>
      <c r="X173" s="62" t="s">
        <v>1932</v>
      </c>
    </row>
    <row r="174" spans="20:24">
      <c r="T174" s="63" t="s">
        <v>2082</v>
      </c>
      <c r="U174" s="63" t="s">
        <v>1758</v>
      </c>
      <c r="V174" s="63" t="s">
        <v>1790</v>
      </c>
      <c r="W174" s="63" t="s">
        <v>1847</v>
      </c>
      <c r="X174" s="62" t="s">
        <v>1932</v>
      </c>
    </row>
    <row r="175" spans="20:24">
      <c r="T175" s="63" t="s">
        <v>1973</v>
      </c>
      <c r="U175" s="63" t="s">
        <v>1758</v>
      </c>
      <c r="V175" s="63" t="s">
        <v>1796</v>
      </c>
      <c r="W175" s="63" t="s">
        <v>1870</v>
      </c>
      <c r="X175" s="62" t="s">
        <v>1932</v>
      </c>
    </row>
    <row r="176" spans="20:24">
      <c r="T176" s="63" t="s">
        <v>2046</v>
      </c>
      <c r="U176" s="63" t="s">
        <v>1758</v>
      </c>
      <c r="V176" s="63" t="s">
        <v>1790</v>
      </c>
      <c r="W176" s="63" t="s">
        <v>1847</v>
      </c>
      <c r="X176" s="62" t="s">
        <v>1932</v>
      </c>
    </row>
    <row r="177" spans="20:24">
      <c r="T177" s="63" t="s">
        <v>2083</v>
      </c>
      <c r="U177" s="63" t="s">
        <v>1739</v>
      </c>
      <c r="V177" s="63" t="s">
        <v>1787</v>
      </c>
      <c r="W177" s="63" t="s">
        <v>1841</v>
      </c>
      <c r="X177" s="62" t="s">
        <v>1932</v>
      </c>
    </row>
    <row r="178" spans="20:24">
      <c r="T178" s="63" t="s">
        <v>1957</v>
      </c>
      <c r="U178" s="63" t="s">
        <v>1758</v>
      </c>
      <c r="V178" s="63" t="s">
        <v>1790</v>
      </c>
      <c r="W178" s="63" t="s">
        <v>1847</v>
      </c>
      <c r="X178" s="63" t="s">
        <v>1893</v>
      </c>
    </row>
    <row r="179" spans="20:24">
      <c r="T179" s="63" t="s">
        <v>1957</v>
      </c>
      <c r="U179" s="63" t="s">
        <v>1758</v>
      </c>
      <c r="V179" s="63" t="s">
        <v>1790</v>
      </c>
      <c r="W179" s="63" t="s">
        <v>1847</v>
      </c>
      <c r="X179" s="63" t="s">
        <v>1893</v>
      </c>
    </row>
    <row r="180" spans="20:24">
      <c r="T180" s="63" t="s">
        <v>1974</v>
      </c>
      <c r="U180" s="63" t="s">
        <v>1739</v>
      </c>
      <c r="V180" s="63" t="s">
        <v>1776</v>
      </c>
      <c r="W180" s="63" t="s">
        <v>1830</v>
      </c>
      <c r="X180" s="62" t="s">
        <v>1932</v>
      </c>
    </row>
    <row r="181" spans="20:24">
      <c r="T181" s="63" t="s">
        <v>2046</v>
      </c>
      <c r="U181" s="63" t="s">
        <v>1758</v>
      </c>
      <c r="V181" s="63" t="s">
        <v>1790</v>
      </c>
      <c r="W181" s="63" t="s">
        <v>1847</v>
      </c>
      <c r="X181" s="62" t="s">
        <v>1932</v>
      </c>
    </row>
    <row r="182" spans="20:24">
      <c r="T182" s="63" t="s">
        <v>2046</v>
      </c>
      <c r="U182" s="63" t="s">
        <v>1758</v>
      </c>
      <c r="V182" s="63" t="s">
        <v>1790</v>
      </c>
      <c r="W182" s="63" t="s">
        <v>1847</v>
      </c>
      <c r="X182" s="62" t="s">
        <v>1932</v>
      </c>
    </row>
    <row r="183" spans="20:24">
      <c r="T183" s="63" t="s">
        <v>2084</v>
      </c>
      <c r="U183" s="63" t="s">
        <v>1739</v>
      </c>
      <c r="V183" s="63" t="s">
        <v>1772</v>
      </c>
      <c r="W183" s="63" t="s">
        <v>1813</v>
      </c>
      <c r="X183" s="62" t="s">
        <v>1932</v>
      </c>
    </row>
    <row r="184" spans="20:24">
      <c r="T184" s="63" t="s">
        <v>1953</v>
      </c>
      <c r="U184" s="63" t="s">
        <v>1739</v>
      </c>
      <c r="V184" s="63" t="s">
        <v>1772</v>
      </c>
      <c r="W184" s="63" t="s">
        <v>1813</v>
      </c>
      <c r="X184" s="62" t="s">
        <v>1932</v>
      </c>
    </row>
    <row r="185" spans="20:24">
      <c r="T185" s="63" t="s">
        <v>2051</v>
      </c>
      <c r="U185" s="63" t="s">
        <v>1739</v>
      </c>
      <c r="V185" s="63" t="s">
        <v>1768</v>
      </c>
      <c r="W185" s="63" t="s">
        <v>1788</v>
      </c>
      <c r="X185" s="62" t="s">
        <v>1932</v>
      </c>
    </row>
    <row r="186" spans="20:24">
      <c r="T186" s="63" t="s">
        <v>2046</v>
      </c>
      <c r="U186" s="63" t="s">
        <v>1758</v>
      </c>
      <c r="V186" s="63" t="s">
        <v>1790</v>
      </c>
      <c r="W186" s="63" t="s">
        <v>1847</v>
      </c>
      <c r="X186" s="62" t="s">
        <v>1932</v>
      </c>
    </row>
    <row r="187" spans="20:24">
      <c r="T187" s="63" t="s">
        <v>1938</v>
      </c>
      <c r="U187" s="63" t="s">
        <v>1758</v>
      </c>
      <c r="V187" s="63" t="s">
        <v>1790</v>
      </c>
      <c r="W187" s="63" t="s">
        <v>1847</v>
      </c>
      <c r="X187" s="62" t="s">
        <v>1932</v>
      </c>
    </row>
    <row r="188" spans="20:24">
      <c r="T188" s="63" t="s">
        <v>1975</v>
      </c>
      <c r="U188" s="63" t="s">
        <v>1758</v>
      </c>
      <c r="V188" s="63" t="s">
        <v>1790</v>
      </c>
      <c r="W188" s="63" t="s">
        <v>1847</v>
      </c>
      <c r="X188" s="62" t="s">
        <v>1932</v>
      </c>
    </row>
    <row r="189" spans="20:24">
      <c r="T189" s="63" t="s">
        <v>1976</v>
      </c>
      <c r="U189" s="63" t="s">
        <v>1758</v>
      </c>
      <c r="V189" s="63" t="s">
        <v>1790</v>
      </c>
      <c r="W189" s="63" t="s">
        <v>1847</v>
      </c>
      <c r="X189" s="62" t="s">
        <v>1932</v>
      </c>
    </row>
    <row r="190" spans="20:24">
      <c r="T190" s="63" t="s">
        <v>2046</v>
      </c>
      <c r="U190" s="63" t="s">
        <v>1758</v>
      </c>
      <c r="V190" s="63" t="s">
        <v>1790</v>
      </c>
      <c r="W190" s="63" t="s">
        <v>1847</v>
      </c>
      <c r="X190" s="62" t="s">
        <v>1932</v>
      </c>
    </row>
    <row r="191" spans="20:24">
      <c r="T191" s="63" t="s">
        <v>1976</v>
      </c>
      <c r="U191" s="63" t="s">
        <v>1758</v>
      </c>
      <c r="V191" s="63" t="s">
        <v>1790</v>
      </c>
      <c r="W191" s="63" t="s">
        <v>1847</v>
      </c>
      <c r="X191" s="62" t="s">
        <v>1932</v>
      </c>
    </row>
    <row r="192" spans="20:24">
      <c r="T192" s="63" t="s">
        <v>1977</v>
      </c>
      <c r="U192" s="63" t="s">
        <v>1758</v>
      </c>
      <c r="V192" s="63" t="s">
        <v>1790</v>
      </c>
      <c r="W192" s="63" t="s">
        <v>1847</v>
      </c>
      <c r="X192" s="62" t="s">
        <v>1932</v>
      </c>
    </row>
    <row r="193" spans="20:24">
      <c r="T193" s="63" t="s">
        <v>2046</v>
      </c>
      <c r="U193" s="63" t="s">
        <v>1758</v>
      </c>
      <c r="V193" s="63" t="s">
        <v>1790</v>
      </c>
      <c r="W193" s="63" t="s">
        <v>1847</v>
      </c>
      <c r="X193" s="62" t="s">
        <v>1932</v>
      </c>
    </row>
    <row r="194" spans="20:24">
      <c r="T194" s="63" t="s">
        <v>1944</v>
      </c>
      <c r="U194" s="63" t="s">
        <v>1758</v>
      </c>
      <c r="V194" s="63" t="s">
        <v>1790</v>
      </c>
      <c r="W194" s="63" t="s">
        <v>1847</v>
      </c>
      <c r="X194" s="62" t="s">
        <v>1932</v>
      </c>
    </row>
    <row r="195" spans="20:24">
      <c r="T195" s="63" t="s">
        <v>2046</v>
      </c>
      <c r="U195" s="63" t="s">
        <v>1758</v>
      </c>
      <c r="V195" s="63" t="s">
        <v>1790</v>
      </c>
      <c r="W195" s="63" t="s">
        <v>1847</v>
      </c>
      <c r="X195" s="62" t="s">
        <v>1932</v>
      </c>
    </row>
    <row r="196" spans="20:24">
      <c r="T196" s="63" t="s">
        <v>1978</v>
      </c>
      <c r="U196" s="63" t="s">
        <v>1739</v>
      </c>
      <c r="V196" s="63" t="s">
        <v>1741</v>
      </c>
      <c r="W196" s="63" t="s">
        <v>1743</v>
      </c>
      <c r="X196" s="62" t="s">
        <v>1932</v>
      </c>
    </row>
    <row r="197" spans="20:24">
      <c r="T197" s="63" t="s">
        <v>2046</v>
      </c>
      <c r="U197" s="63" t="s">
        <v>1758</v>
      </c>
      <c r="V197" s="63" t="s">
        <v>1790</v>
      </c>
      <c r="W197" s="63" t="s">
        <v>1847</v>
      </c>
      <c r="X197" s="62" t="s">
        <v>1932</v>
      </c>
    </row>
    <row r="198" spans="20:24">
      <c r="T198" s="63" t="s">
        <v>1944</v>
      </c>
      <c r="U198" s="63" t="s">
        <v>1758</v>
      </c>
      <c r="V198" s="63" t="s">
        <v>1790</v>
      </c>
      <c r="W198" s="63" t="s">
        <v>1847</v>
      </c>
      <c r="X198" s="62" t="s">
        <v>1932</v>
      </c>
    </row>
    <row r="199" spans="20:24">
      <c r="T199" s="63" t="s">
        <v>2046</v>
      </c>
      <c r="U199" s="63" t="s">
        <v>1758</v>
      </c>
      <c r="V199" s="63" t="s">
        <v>1790</v>
      </c>
      <c r="W199" s="63" t="s">
        <v>1847</v>
      </c>
      <c r="X199" s="62" t="s">
        <v>1932</v>
      </c>
    </row>
    <row r="200" spans="20:24">
      <c r="T200" s="63" t="s">
        <v>2085</v>
      </c>
      <c r="U200" s="63" t="s">
        <v>1739</v>
      </c>
      <c r="V200" s="63" t="s">
        <v>1772</v>
      </c>
      <c r="W200" s="63" t="s">
        <v>1810</v>
      </c>
      <c r="X200" s="62" t="s">
        <v>1932</v>
      </c>
    </row>
    <row r="201" spans="20:24">
      <c r="T201" s="63" t="s">
        <v>1938</v>
      </c>
      <c r="U201" s="63" t="s">
        <v>1758</v>
      </c>
      <c r="V201" s="63" t="s">
        <v>1790</v>
      </c>
      <c r="W201" s="63" t="s">
        <v>1847</v>
      </c>
      <c r="X201" s="62" t="s">
        <v>1932</v>
      </c>
    </row>
    <row r="202" spans="20:24">
      <c r="T202" s="63" t="s">
        <v>1950</v>
      </c>
      <c r="U202" s="63" t="s">
        <v>1758</v>
      </c>
      <c r="V202" s="63" t="s">
        <v>1790</v>
      </c>
      <c r="W202" s="63" t="s">
        <v>1847</v>
      </c>
      <c r="X202" s="62" t="s">
        <v>1932</v>
      </c>
    </row>
    <row r="203" spans="20:24">
      <c r="T203" s="63" t="s">
        <v>2046</v>
      </c>
      <c r="U203" s="63" t="s">
        <v>1758</v>
      </c>
      <c r="V203" s="63" t="s">
        <v>1790</v>
      </c>
      <c r="W203" s="63" t="s">
        <v>1847</v>
      </c>
      <c r="X203" s="62" t="s">
        <v>1932</v>
      </c>
    </row>
    <row r="204" spans="20:24">
      <c r="T204" s="63" t="s">
        <v>2046</v>
      </c>
      <c r="U204" s="63" t="s">
        <v>1758</v>
      </c>
      <c r="V204" s="63" t="s">
        <v>1790</v>
      </c>
      <c r="W204" s="63" t="s">
        <v>1847</v>
      </c>
      <c r="X204" s="62" t="s">
        <v>1932</v>
      </c>
    </row>
    <row r="205" spans="20:24">
      <c r="T205" s="63" t="s">
        <v>2046</v>
      </c>
      <c r="U205" s="63" t="s">
        <v>1758</v>
      </c>
      <c r="V205" s="63" t="s">
        <v>1790</v>
      </c>
      <c r="W205" s="63" t="s">
        <v>1847</v>
      </c>
      <c r="X205" s="62" t="s">
        <v>1932</v>
      </c>
    </row>
    <row r="206" spans="20:24">
      <c r="T206" s="63" t="s">
        <v>2086</v>
      </c>
      <c r="U206" s="63" t="s">
        <v>1739</v>
      </c>
      <c r="V206" s="63" t="s">
        <v>1784</v>
      </c>
      <c r="W206" s="63" t="s">
        <v>1838</v>
      </c>
      <c r="X206" s="62" t="s">
        <v>1932</v>
      </c>
    </row>
    <row r="207" spans="20:24">
      <c r="T207" s="63" t="s">
        <v>1966</v>
      </c>
      <c r="U207" s="63" t="s">
        <v>1739</v>
      </c>
      <c r="V207" s="63" t="s">
        <v>1768</v>
      </c>
      <c r="W207" s="63" t="s">
        <v>1788</v>
      </c>
      <c r="X207" s="62" t="s">
        <v>1932</v>
      </c>
    </row>
    <row r="208" spans="20:24">
      <c r="T208" s="63" t="s">
        <v>1966</v>
      </c>
      <c r="U208" s="63" t="s">
        <v>1739</v>
      </c>
      <c r="V208" s="63" t="s">
        <v>1768</v>
      </c>
      <c r="W208" s="63" t="s">
        <v>1788</v>
      </c>
      <c r="X208" s="62" t="s">
        <v>1932</v>
      </c>
    </row>
    <row r="209" spans="20:24">
      <c r="T209" s="63" t="s">
        <v>1938</v>
      </c>
      <c r="U209" s="63" t="s">
        <v>1758</v>
      </c>
      <c r="V209" s="63" t="s">
        <v>1790</v>
      </c>
      <c r="W209" s="63" t="s">
        <v>1847</v>
      </c>
      <c r="X209" s="62" t="s">
        <v>1932</v>
      </c>
    </row>
    <row r="210" spans="20:24">
      <c r="T210" s="63" t="s">
        <v>1979</v>
      </c>
      <c r="U210" s="63" t="s">
        <v>1739</v>
      </c>
      <c r="V210" s="63" t="s">
        <v>1772</v>
      </c>
      <c r="W210" s="63" t="s">
        <v>1813</v>
      </c>
      <c r="X210" s="62" t="s">
        <v>1932</v>
      </c>
    </row>
    <row r="211" spans="20:24">
      <c r="T211" s="63" t="s">
        <v>2046</v>
      </c>
      <c r="U211" s="63" t="s">
        <v>1758</v>
      </c>
      <c r="V211" s="63" t="s">
        <v>1790</v>
      </c>
      <c r="W211" s="63" t="s">
        <v>1847</v>
      </c>
      <c r="X211" s="62" t="s">
        <v>1932</v>
      </c>
    </row>
    <row r="212" spans="20:24">
      <c r="T212" s="63" t="s">
        <v>1976</v>
      </c>
      <c r="U212" s="63" t="s">
        <v>1758</v>
      </c>
      <c r="V212" s="63" t="s">
        <v>1790</v>
      </c>
      <c r="W212" s="63" t="s">
        <v>1847</v>
      </c>
      <c r="X212" s="62" t="s">
        <v>1932</v>
      </c>
    </row>
    <row r="213" spans="20:24">
      <c r="T213" s="63" t="s">
        <v>2046</v>
      </c>
      <c r="U213" s="63" t="s">
        <v>1758</v>
      </c>
      <c r="V213" s="63" t="s">
        <v>1790</v>
      </c>
      <c r="W213" s="63" t="s">
        <v>1847</v>
      </c>
      <c r="X213" s="62" t="s">
        <v>1932</v>
      </c>
    </row>
    <row r="214" spans="20:24">
      <c r="T214" s="63" t="s">
        <v>2069</v>
      </c>
      <c r="U214" s="63" t="s">
        <v>1739</v>
      </c>
      <c r="V214" s="63" t="s">
        <v>1770</v>
      </c>
      <c r="W214" s="63" t="s">
        <v>1797</v>
      </c>
      <c r="X214" s="62" t="s">
        <v>1932</v>
      </c>
    </row>
    <row r="215" spans="20:24">
      <c r="T215" s="63" t="s">
        <v>2047</v>
      </c>
      <c r="U215" s="63" t="s">
        <v>1758</v>
      </c>
      <c r="V215" s="63" t="s">
        <v>1790</v>
      </c>
      <c r="W215" s="63" t="s">
        <v>1847</v>
      </c>
      <c r="X215" s="62" t="s">
        <v>1932</v>
      </c>
    </row>
    <row r="216" spans="20:24">
      <c r="T216" s="63" t="s">
        <v>1980</v>
      </c>
      <c r="U216" s="63" t="s">
        <v>1758</v>
      </c>
      <c r="V216" s="63" t="s">
        <v>1793</v>
      </c>
      <c r="W216" s="63" t="s">
        <v>1855</v>
      </c>
      <c r="X216" s="62" t="s">
        <v>1932</v>
      </c>
    </row>
    <row r="217" spans="20:24">
      <c r="T217" s="63" t="s">
        <v>2051</v>
      </c>
      <c r="U217" s="63" t="s">
        <v>1739</v>
      </c>
      <c r="V217" s="63" t="s">
        <v>1768</v>
      </c>
      <c r="W217" s="63" t="s">
        <v>1788</v>
      </c>
      <c r="X217" s="62" t="s">
        <v>1932</v>
      </c>
    </row>
    <row r="218" spans="20:24">
      <c r="T218" s="63" t="s">
        <v>1938</v>
      </c>
      <c r="U218" s="63" t="s">
        <v>1758</v>
      </c>
      <c r="V218" s="63" t="s">
        <v>1790</v>
      </c>
      <c r="W218" s="63" t="s">
        <v>1847</v>
      </c>
      <c r="X218" s="62" t="s">
        <v>1932</v>
      </c>
    </row>
    <row r="219" spans="20:24">
      <c r="T219" s="63" t="s">
        <v>1981</v>
      </c>
      <c r="U219" s="63" t="s">
        <v>1758</v>
      </c>
      <c r="V219" s="63" t="s">
        <v>1793</v>
      </c>
      <c r="W219" s="63" t="s">
        <v>1855</v>
      </c>
      <c r="X219" s="62" t="s">
        <v>1932</v>
      </c>
    </row>
    <row r="220" spans="20:24">
      <c r="T220" s="63" t="s">
        <v>2046</v>
      </c>
      <c r="U220" s="63" t="s">
        <v>1758</v>
      </c>
      <c r="V220" s="63" t="s">
        <v>1790</v>
      </c>
      <c r="W220" s="63" t="s">
        <v>1847</v>
      </c>
      <c r="X220" s="62" t="s">
        <v>1932</v>
      </c>
    </row>
    <row r="221" spans="20:24">
      <c r="T221" s="63" t="s">
        <v>2087</v>
      </c>
      <c r="U221" s="63" t="s">
        <v>1758</v>
      </c>
      <c r="V221" s="63" t="s">
        <v>1796</v>
      </c>
      <c r="W221" s="63" t="s">
        <v>1870</v>
      </c>
      <c r="X221" s="62" t="s">
        <v>1932</v>
      </c>
    </row>
    <row r="222" spans="20:24">
      <c r="T222" s="63" t="s">
        <v>2088</v>
      </c>
      <c r="U222" s="63" t="s">
        <v>1758</v>
      </c>
      <c r="V222" s="63" t="s">
        <v>1796</v>
      </c>
      <c r="W222" s="63" t="s">
        <v>1870</v>
      </c>
      <c r="X222" s="62" t="s">
        <v>1932</v>
      </c>
    </row>
    <row r="223" spans="20:24">
      <c r="T223" s="63" t="s">
        <v>2046</v>
      </c>
      <c r="U223" s="63" t="s">
        <v>1758</v>
      </c>
      <c r="V223" s="63" t="s">
        <v>1790</v>
      </c>
      <c r="W223" s="63" t="s">
        <v>1847</v>
      </c>
      <c r="X223" s="62" t="s">
        <v>1932</v>
      </c>
    </row>
    <row r="224" spans="20:24">
      <c r="T224" s="63" t="s">
        <v>2046</v>
      </c>
      <c r="U224" s="63" t="s">
        <v>1758</v>
      </c>
      <c r="V224" s="63" t="s">
        <v>1790</v>
      </c>
      <c r="W224" s="63" t="s">
        <v>1847</v>
      </c>
      <c r="X224" s="62" t="s">
        <v>1932</v>
      </c>
    </row>
    <row r="225" spans="20:24">
      <c r="T225" s="63" t="s">
        <v>2052</v>
      </c>
      <c r="U225" s="63" t="s">
        <v>1758</v>
      </c>
      <c r="V225" s="63" t="s">
        <v>1790</v>
      </c>
      <c r="W225" s="63" t="s">
        <v>1847</v>
      </c>
      <c r="X225" s="62" t="s">
        <v>1932</v>
      </c>
    </row>
    <row r="226" spans="20:24">
      <c r="T226" s="63" t="s">
        <v>1944</v>
      </c>
      <c r="U226" s="63" t="s">
        <v>1758</v>
      </c>
      <c r="V226" s="63" t="s">
        <v>1790</v>
      </c>
      <c r="W226" s="63" t="s">
        <v>1847</v>
      </c>
      <c r="X226" s="62" t="s">
        <v>1932</v>
      </c>
    </row>
    <row r="227" spans="20:24">
      <c r="T227" s="63" t="s">
        <v>2089</v>
      </c>
      <c r="U227" s="63" t="s">
        <v>1758</v>
      </c>
      <c r="V227" s="63" t="s">
        <v>1790</v>
      </c>
      <c r="W227" s="63" t="s">
        <v>1847</v>
      </c>
      <c r="X227" s="62" t="s">
        <v>1932</v>
      </c>
    </row>
    <row r="228" spans="20:24">
      <c r="T228" s="63" t="s">
        <v>2090</v>
      </c>
      <c r="U228" s="63" t="s">
        <v>1739</v>
      </c>
      <c r="V228" s="63" t="s">
        <v>1768</v>
      </c>
      <c r="W228" s="63" t="s">
        <v>1779</v>
      </c>
      <c r="X228" s="62" t="s">
        <v>1932</v>
      </c>
    </row>
    <row r="229" spans="20:24">
      <c r="T229" s="63" t="s">
        <v>2046</v>
      </c>
      <c r="U229" s="63" t="s">
        <v>1758</v>
      </c>
      <c r="V229" s="63" t="s">
        <v>1790</v>
      </c>
      <c r="W229" s="63" t="s">
        <v>1847</v>
      </c>
      <c r="X229" s="62" t="s">
        <v>1932</v>
      </c>
    </row>
    <row r="230" spans="20:24">
      <c r="T230" s="63" t="s">
        <v>2046</v>
      </c>
      <c r="U230" s="63" t="s">
        <v>1758</v>
      </c>
      <c r="V230" s="63" t="s">
        <v>1790</v>
      </c>
      <c r="W230" s="63" t="s">
        <v>1847</v>
      </c>
      <c r="X230" s="62" t="s">
        <v>1932</v>
      </c>
    </row>
    <row r="231" spans="20:24">
      <c r="T231" s="63" t="s">
        <v>1945</v>
      </c>
      <c r="U231" s="63" t="s">
        <v>1739</v>
      </c>
      <c r="V231" s="63" t="s">
        <v>1772</v>
      </c>
      <c r="W231" s="63" t="s">
        <v>1813</v>
      </c>
      <c r="X231" s="62" t="s">
        <v>1932</v>
      </c>
    </row>
    <row r="232" spans="20:24">
      <c r="T232" s="63" t="s">
        <v>1982</v>
      </c>
      <c r="U232" s="63" t="s">
        <v>1758</v>
      </c>
      <c r="V232" s="63" t="s">
        <v>1796</v>
      </c>
      <c r="W232" s="63" t="s">
        <v>1870</v>
      </c>
      <c r="X232" s="62" t="s">
        <v>1932</v>
      </c>
    </row>
    <row r="233" spans="20:24">
      <c r="T233" s="63" t="s">
        <v>1944</v>
      </c>
      <c r="U233" s="63" t="s">
        <v>1758</v>
      </c>
      <c r="V233" s="63" t="s">
        <v>1790</v>
      </c>
      <c r="W233" s="63" t="s">
        <v>1847</v>
      </c>
      <c r="X233" s="62" t="s">
        <v>1932</v>
      </c>
    </row>
    <row r="234" spans="20:24">
      <c r="T234" s="63" t="s">
        <v>2046</v>
      </c>
      <c r="U234" s="63" t="s">
        <v>1758</v>
      </c>
      <c r="V234" s="63" t="s">
        <v>1790</v>
      </c>
      <c r="W234" s="63" t="s">
        <v>1847</v>
      </c>
      <c r="X234" s="62" t="s">
        <v>1932</v>
      </c>
    </row>
    <row r="235" spans="20:24">
      <c r="T235" s="63" t="s">
        <v>1944</v>
      </c>
      <c r="U235" s="63" t="s">
        <v>1758</v>
      </c>
      <c r="V235" s="63" t="s">
        <v>1790</v>
      </c>
      <c r="W235" s="63" t="s">
        <v>1847</v>
      </c>
      <c r="X235" s="62" t="s">
        <v>1932</v>
      </c>
    </row>
    <row r="236" spans="20:24">
      <c r="T236" s="63" t="s">
        <v>2091</v>
      </c>
      <c r="U236" s="63" t="s">
        <v>1739</v>
      </c>
      <c r="V236" s="63" t="s">
        <v>1772</v>
      </c>
      <c r="W236" s="63" t="s">
        <v>1813</v>
      </c>
      <c r="X236" s="62" t="s">
        <v>1932</v>
      </c>
    </row>
    <row r="237" spans="20:24">
      <c r="T237" s="63" t="s">
        <v>1983</v>
      </c>
      <c r="U237" s="63" t="s">
        <v>1758</v>
      </c>
      <c r="V237" s="63" t="s">
        <v>1790</v>
      </c>
      <c r="W237" s="63" t="s">
        <v>1847</v>
      </c>
      <c r="X237" s="62" t="s">
        <v>1932</v>
      </c>
    </row>
    <row r="238" spans="20:24">
      <c r="T238" s="63" t="s">
        <v>2092</v>
      </c>
      <c r="U238" s="63" t="s">
        <v>1739</v>
      </c>
      <c r="V238" s="63" t="s">
        <v>1772</v>
      </c>
      <c r="W238" s="63" t="s">
        <v>1813</v>
      </c>
      <c r="X238" s="62" t="s">
        <v>1932</v>
      </c>
    </row>
    <row r="239" spans="20:24">
      <c r="T239" s="63" t="s">
        <v>1984</v>
      </c>
      <c r="U239" s="63" t="s">
        <v>1758</v>
      </c>
      <c r="V239" s="63" t="s">
        <v>1793</v>
      </c>
      <c r="W239" s="63" t="s">
        <v>1855</v>
      </c>
      <c r="X239" s="62" t="s">
        <v>1932</v>
      </c>
    </row>
    <row r="240" spans="20:24">
      <c r="T240" s="63" t="s">
        <v>1938</v>
      </c>
      <c r="U240" s="63" t="s">
        <v>1758</v>
      </c>
      <c r="V240" s="63" t="s">
        <v>1790</v>
      </c>
      <c r="W240" s="63" t="s">
        <v>1847</v>
      </c>
      <c r="X240" s="62" t="s">
        <v>1932</v>
      </c>
    </row>
    <row r="241" spans="20:24">
      <c r="T241" s="63" t="s">
        <v>2046</v>
      </c>
      <c r="U241" s="63" t="s">
        <v>1758</v>
      </c>
      <c r="V241" s="63" t="s">
        <v>1790</v>
      </c>
      <c r="W241" s="63" t="s">
        <v>1847</v>
      </c>
      <c r="X241" s="62" t="s">
        <v>1932</v>
      </c>
    </row>
    <row r="242" spans="20:24">
      <c r="T242" s="63" t="s">
        <v>1985</v>
      </c>
      <c r="U242" s="63" t="s">
        <v>1758</v>
      </c>
      <c r="V242" s="63" t="s">
        <v>1793</v>
      </c>
      <c r="W242" s="63" t="s">
        <v>1855</v>
      </c>
      <c r="X242" s="62" t="s">
        <v>1932</v>
      </c>
    </row>
    <row r="243" spans="20:24">
      <c r="T243" s="63" t="s">
        <v>2093</v>
      </c>
      <c r="U243" s="63" t="s">
        <v>1758</v>
      </c>
      <c r="V243" s="63" t="s">
        <v>1796</v>
      </c>
      <c r="W243" s="63" t="s">
        <v>1870</v>
      </c>
      <c r="X243" s="62" t="s">
        <v>1932</v>
      </c>
    </row>
    <row r="244" spans="20:24">
      <c r="T244" s="63" t="s">
        <v>2094</v>
      </c>
      <c r="U244" s="63" t="s">
        <v>1739</v>
      </c>
      <c r="V244" s="63" t="s">
        <v>1772</v>
      </c>
      <c r="W244" s="63" t="s">
        <v>1813</v>
      </c>
      <c r="X244" s="62" t="s">
        <v>1932</v>
      </c>
    </row>
    <row r="245" spans="20:24">
      <c r="T245" s="63" t="s">
        <v>1938</v>
      </c>
      <c r="U245" s="63" t="s">
        <v>1758</v>
      </c>
      <c r="V245" s="63" t="s">
        <v>1790</v>
      </c>
      <c r="W245" s="63" t="s">
        <v>1847</v>
      </c>
      <c r="X245" s="62" t="s">
        <v>1932</v>
      </c>
    </row>
    <row r="246" spans="20:24">
      <c r="T246" s="63" t="s">
        <v>1976</v>
      </c>
      <c r="U246" s="63" t="s">
        <v>1758</v>
      </c>
      <c r="V246" s="63" t="s">
        <v>1790</v>
      </c>
      <c r="W246" s="63" t="s">
        <v>1847</v>
      </c>
      <c r="X246" s="62" t="s">
        <v>1932</v>
      </c>
    </row>
    <row r="247" spans="20:24">
      <c r="T247" s="63" t="s">
        <v>1938</v>
      </c>
      <c r="U247" s="63" t="s">
        <v>1758</v>
      </c>
      <c r="V247" s="63" t="s">
        <v>1790</v>
      </c>
      <c r="W247" s="63" t="s">
        <v>1847</v>
      </c>
      <c r="X247" s="62" t="s">
        <v>1932</v>
      </c>
    </row>
    <row r="248" spans="20:24">
      <c r="T248" s="63" t="s">
        <v>2046</v>
      </c>
      <c r="U248" s="63" t="s">
        <v>1758</v>
      </c>
      <c r="V248" s="63" t="s">
        <v>1790</v>
      </c>
      <c r="W248" s="63" t="s">
        <v>1847</v>
      </c>
      <c r="X248" s="62" t="s">
        <v>1932</v>
      </c>
    </row>
    <row r="249" spans="20:24">
      <c r="T249" s="63" t="s">
        <v>1976</v>
      </c>
      <c r="U249" s="63" t="s">
        <v>1758</v>
      </c>
      <c r="V249" s="63" t="s">
        <v>1790</v>
      </c>
      <c r="W249" s="63" t="s">
        <v>1847</v>
      </c>
      <c r="X249" s="62" t="s">
        <v>1932</v>
      </c>
    </row>
    <row r="250" spans="20:24">
      <c r="T250" s="63" t="s">
        <v>1944</v>
      </c>
      <c r="U250" s="63" t="s">
        <v>1758</v>
      </c>
      <c r="V250" s="63" t="s">
        <v>1790</v>
      </c>
      <c r="W250" s="63" t="s">
        <v>1847</v>
      </c>
      <c r="X250" s="62" t="s">
        <v>1932</v>
      </c>
    </row>
    <row r="251" spans="20:24">
      <c r="T251" s="63" t="s">
        <v>2095</v>
      </c>
      <c r="U251" s="63" t="s">
        <v>1739</v>
      </c>
      <c r="V251" s="63" t="s">
        <v>1768</v>
      </c>
      <c r="W251" s="63" t="s">
        <v>1788</v>
      </c>
      <c r="X251" s="62" t="s">
        <v>1932</v>
      </c>
    </row>
    <row r="252" spans="20:24">
      <c r="T252" s="63" t="s">
        <v>2046</v>
      </c>
      <c r="U252" s="63" t="s">
        <v>1758</v>
      </c>
      <c r="V252" s="63" t="s">
        <v>1790</v>
      </c>
      <c r="W252" s="63" t="s">
        <v>1847</v>
      </c>
      <c r="X252" s="62" t="s">
        <v>1932</v>
      </c>
    </row>
    <row r="253" spans="20:24">
      <c r="T253" s="63" t="s">
        <v>1986</v>
      </c>
      <c r="U253" s="63" t="s">
        <v>1758</v>
      </c>
      <c r="V253" s="63" t="s">
        <v>1796</v>
      </c>
      <c r="W253" s="63" t="s">
        <v>1870</v>
      </c>
      <c r="X253" s="62" t="s">
        <v>1932</v>
      </c>
    </row>
    <row r="254" spans="20:24">
      <c r="T254" s="63" t="s">
        <v>1987</v>
      </c>
      <c r="U254" s="63" t="s">
        <v>1739</v>
      </c>
      <c r="V254" s="63" t="s">
        <v>1784</v>
      </c>
      <c r="W254" s="63" t="s">
        <v>1839</v>
      </c>
      <c r="X254" s="62" t="s">
        <v>1932</v>
      </c>
    </row>
    <row r="255" spans="20:24">
      <c r="T255" s="63" t="s">
        <v>2046</v>
      </c>
      <c r="U255" s="63" t="s">
        <v>1758</v>
      </c>
      <c r="V255" s="63" t="s">
        <v>1790</v>
      </c>
      <c r="W255" s="63" t="s">
        <v>1847</v>
      </c>
      <c r="X255" s="62" t="s">
        <v>1932</v>
      </c>
    </row>
    <row r="256" spans="20:24">
      <c r="T256" s="63" t="s">
        <v>1966</v>
      </c>
      <c r="U256" s="63" t="s">
        <v>1739</v>
      </c>
      <c r="V256" s="63" t="s">
        <v>1768</v>
      </c>
      <c r="W256" s="63" t="s">
        <v>1788</v>
      </c>
      <c r="X256" s="62" t="s">
        <v>1932</v>
      </c>
    </row>
    <row r="257" spans="20:24">
      <c r="T257" s="63" t="s">
        <v>2046</v>
      </c>
      <c r="U257" s="63" t="s">
        <v>1758</v>
      </c>
      <c r="V257" s="63" t="s">
        <v>1790</v>
      </c>
      <c r="W257" s="63" t="s">
        <v>1847</v>
      </c>
      <c r="X257" s="62" t="s">
        <v>1932</v>
      </c>
    </row>
    <row r="258" spans="20:24">
      <c r="T258" s="63" t="s">
        <v>2046</v>
      </c>
      <c r="U258" s="63" t="s">
        <v>1758</v>
      </c>
      <c r="V258" s="63" t="s">
        <v>1790</v>
      </c>
      <c r="W258" s="63" t="s">
        <v>1847</v>
      </c>
      <c r="X258" s="62" t="s">
        <v>1932</v>
      </c>
    </row>
    <row r="259" spans="20:24">
      <c r="T259" s="63" t="s">
        <v>2046</v>
      </c>
      <c r="U259" s="63" t="s">
        <v>1758</v>
      </c>
      <c r="V259" s="63" t="s">
        <v>1790</v>
      </c>
      <c r="W259" s="63" t="s">
        <v>1847</v>
      </c>
      <c r="X259" s="62" t="s">
        <v>1932</v>
      </c>
    </row>
    <row r="260" spans="20:24">
      <c r="T260" s="63" t="s">
        <v>2046</v>
      </c>
      <c r="U260" s="63" t="s">
        <v>1758</v>
      </c>
      <c r="V260" s="63" t="s">
        <v>1790</v>
      </c>
      <c r="W260" s="63" t="s">
        <v>1847</v>
      </c>
      <c r="X260" s="62" t="s">
        <v>1932</v>
      </c>
    </row>
    <row r="261" spans="20:24">
      <c r="T261" s="63" t="s">
        <v>2046</v>
      </c>
      <c r="U261" s="63" t="s">
        <v>1758</v>
      </c>
      <c r="V261" s="63" t="s">
        <v>1790</v>
      </c>
      <c r="W261" s="63" t="s">
        <v>1847</v>
      </c>
      <c r="X261" s="62" t="s">
        <v>1932</v>
      </c>
    </row>
    <row r="262" spans="20:24">
      <c r="T262" s="63" t="s">
        <v>2046</v>
      </c>
      <c r="U262" s="63" t="s">
        <v>1758</v>
      </c>
      <c r="V262" s="63" t="s">
        <v>1790</v>
      </c>
      <c r="W262" s="63" t="s">
        <v>1847</v>
      </c>
      <c r="X262" s="62" t="s">
        <v>1932</v>
      </c>
    </row>
    <row r="263" spans="20:24">
      <c r="T263" s="63" t="s">
        <v>2046</v>
      </c>
      <c r="U263" s="63" t="s">
        <v>1758</v>
      </c>
      <c r="V263" s="63" t="s">
        <v>1790</v>
      </c>
      <c r="W263" s="63" t="s">
        <v>1847</v>
      </c>
      <c r="X263" s="62" t="s">
        <v>1932</v>
      </c>
    </row>
    <row r="264" spans="20:24">
      <c r="T264" s="63" t="s">
        <v>1938</v>
      </c>
      <c r="U264" s="63" t="s">
        <v>1758</v>
      </c>
      <c r="V264" s="63" t="s">
        <v>1790</v>
      </c>
      <c r="W264" s="63" t="s">
        <v>1847</v>
      </c>
      <c r="X264" s="62" t="s">
        <v>1932</v>
      </c>
    </row>
    <row r="265" spans="20:24">
      <c r="T265" s="63" t="s">
        <v>2082</v>
      </c>
      <c r="U265" s="63" t="s">
        <v>1758</v>
      </c>
      <c r="V265" s="63" t="s">
        <v>1790</v>
      </c>
      <c r="W265" s="63" t="s">
        <v>1847</v>
      </c>
      <c r="X265" s="62" t="s">
        <v>1932</v>
      </c>
    </row>
    <row r="266" spans="20:24">
      <c r="T266" s="63" t="s">
        <v>2046</v>
      </c>
      <c r="U266" s="63" t="s">
        <v>1758</v>
      </c>
      <c r="V266" s="63" t="s">
        <v>1790</v>
      </c>
      <c r="W266" s="63" t="s">
        <v>1847</v>
      </c>
      <c r="X266" s="62" t="s">
        <v>1932</v>
      </c>
    </row>
    <row r="267" spans="20:24">
      <c r="T267" s="63" t="s">
        <v>1938</v>
      </c>
      <c r="U267" s="63" t="s">
        <v>1758</v>
      </c>
      <c r="V267" s="63" t="s">
        <v>1790</v>
      </c>
      <c r="W267" s="63" t="s">
        <v>1847</v>
      </c>
      <c r="X267" s="62" t="s">
        <v>1932</v>
      </c>
    </row>
    <row r="268" spans="20:24">
      <c r="T268" s="63" t="s">
        <v>2096</v>
      </c>
      <c r="U268" s="63" t="s">
        <v>1758</v>
      </c>
      <c r="V268" s="63" t="s">
        <v>1790</v>
      </c>
      <c r="W268" s="63" t="s">
        <v>1847</v>
      </c>
      <c r="X268" s="62" t="s">
        <v>1932</v>
      </c>
    </row>
    <row r="269" spans="20:24">
      <c r="T269" s="63" t="s">
        <v>2046</v>
      </c>
      <c r="U269" s="63" t="s">
        <v>1758</v>
      </c>
      <c r="V269" s="63" t="s">
        <v>1790</v>
      </c>
      <c r="W269" s="63" t="s">
        <v>1847</v>
      </c>
      <c r="X269" s="62" t="s">
        <v>1932</v>
      </c>
    </row>
    <row r="270" spans="20:24">
      <c r="T270" s="63" t="s">
        <v>1988</v>
      </c>
      <c r="U270" s="63" t="s">
        <v>1739</v>
      </c>
      <c r="V270" s="63" t="s">
        <v>1781</v>
      </c>
      <c r="W270" s="63" t="s">
        <v>1836</v>
      </c>
      <c r="X270" s="62" t="s">
        <v>1932</v>
      </c>
    </row>
    <row r="271" spans="20:24">
      <c r="T271" s="63" t="s">
        <v>1989</v>
      </c>
      <c r="U271" s="63" t="s">
        <v>1739</v>
      </c>
      <c r="V271" s="63" t="s">
        <v>1768</v>
      </c>
      <c r="W271" s="63" t="s">
        <v>1788</v>
      </c>
      <c r="X271" s="62" t="s">
        <v>1932</v>
      </c>
    </row>
    <row r="272" spans="20:24">
      <c r="T272" s="63" t="s">
        <v>1977</v>
      </c>
      <c r="U272" s="63" t="s">
        <v>1758</v>
      </c>
      <c r="V272" s="63" t="s">
        <v>1790</v>
      </c>
      <c r="W272" s="63" t="s">
        <v>1847</v>
      </c>
      <c r="X272" s="62" t="s">
        <v>1932</v>
      </c>
    </row>
    <row r="273" spans="20:24">
      <c r="T273" s="63" t="s">
        <v>1990</v>
      </c>
      <c r="U273" s="63" t="s">
        <v>1739</v>
      </c>
      <c r="V273" s="63" t="s">
        <v>1768</v>
      </c>
      <c r="W273" s="63" t="s">
        <v>1788</v>
      </c>
      <c r="X273" s="62" t="s">
        <v>1932</v>
      </c>
    </row>
    <row r="274" spans="20:24">
      <c r="T274" s="63" t="s">
        <v>2046</v>
      </c>
      <c r="U274" s="63" t="s">
        <v>1758</v>
      </c>
      <c r="V274" s="63" t="s">
        <v>1790</v>
      </c>
      <c r="W274" s="63" t="s">
        <v>1847</v>
      </c>
      <c r="X274" s="62" t="s">
        <v>1932</v>
      </c>
    </row>
    <row r="275" spans="20:24">
      <c r="T275" s="63" t="s">
        <v>1991</v>
      </c>
      <c r="U275" s="63" t="s">
        <v>1758</v>
      </c>
      <c r="V275" s="63" t="s">
        <v>1796</v>
      </c>
      <c r="W275" s="63" t="s">
        <v>1870</v>
      </c>
      <c r="X275" s="62" t="s">
        <v>1932</v>
      </c>
    </row>
    <row r="276" spans="20:24">
      <c r="T276" s="63" t="s">
        <v>2046</v>
      </c>
      <c r="U276" s="63" t="s">
        <v>1758</v>
      </c>
      <c r="V276" s="63" t="s">
        <v>1790</v>
      </c>
      <c r="W276" s="63" t="s">
        <v>1847</v>
      </c>
      <c r="X276" s="62" t="s">
        <v>1932</v>
      </c>
    </row>
    <row r="277" spans="20:24">
      <c r="T277" s="63" t="s">
        <v>2046</v>
      </c>
      <c r="U277" s="63" t="s">
        <v>1758</v>
      </c>
      <c r="V277" s="63" t="s">
        <v>1790</v>
      </c>
      <c r="W277" s="63" t="s">
        <v>1847</v>
      </c>
      <c r="X277" s="62" t="s">
        <v>1932</v>
      </c>
    </row>
    <row r="278" spans="20:24">
      <c r="T278" s="63" t="s">
        <v>2046</v>
      </c>
      <c r="U278" s="63" t="s">
        <v>1758</v>
      </c>
      <c r="V278" s="63" t="s">
        <v>1790</v>
      </c>
      <c r="W278" s="63" t="s">
        <v>1847</v>
      </c>
      <c r="X278" s="62" t="s">
        <v>1932</v>
      </c>
    </row>
    <row r="279" spans="20:24">
      <c r="T279" s="63" t="s">
        <v>1938</v>
      </c>
      <c r="U279" s="63" t="s">
        <v>1758</v>
      </c>
      <c r="V279" s="63" t="s">
        <v>1790</v>
      </c>
      <c r="W279" s="63" t="s">
        <v>1847</v>
      </c>
      <c r="X279" s="62" t="s">
        <v>1932</v>
      </c>
    </row>
    <row r="280" spans="20:24">
      <c r="T280" s="63" t="s">
        <v>1992</v>
      </c>
      <c r="U280" s="63" t="s">
        <v>1739</v>
      </c>
      <c r="V280" s="63" t="s">
        <v>1770</v>
      </c>
      <c r="W280" s="63" t="s">
        <v>1804</v>
      </c>
      <c r="X280" s="62" t="s">
        <v>1932</v>
      </c>
    </row>
    <row r="281" spans="20:24">
      <c r="T281" s="63" t="s">
        <v>2046</v>
      </c>
      <c r="U281" s="63" t="s">
        <v>1758</v>
      </c>
      <c r="V281" s="63" t="s">
        <v>1790</v>
      </c>
      <c r="W281" s="63" t="s">
        <v>1847</v>
      </c>
      <c r="X281" s="62" t="s">
        <v>1932</v>
      </c>
    </row>
    <row r="282" spans="20:24">
      <c r="T282" s="63" t="s">
        <v>1938</v>
      </c>
      <c r="U282" s="63" t="s">
        <v>1758</v>
      </c>
      <c r="V282" s="63" t="s">
        <v>1790</v>
      </c>
      <c r="W282" s="63" t="s">
        <v>1847</v>
      </c>
      <c r="X282" s="62" t="s">
        <v>1932</v>
      </c>
    </row>
    <row r="283" spans="20:24">
      <c r="T283" s="63" t="s">
        <v>2046</v>
      </c>
      <c r="U283" s="63" t="s">
        <v>1758</v>
      </c>
      <c r="V283" s="63" t="s">
        <v>1790</v>
      </c>
      <c r="W283" s="63" t="s">
        <v>1847</v>
      </c>
      <c r="X283" s="62" t="s">
        <v>1932</v>
      </c>
    </row>
    <row r="284" spans="20:24">
      <c r="T284" s="63" t="s">
        <v>2046</v>
      </c>
      <c r="U284" s="63" t="s">
        <v>1758</v>
      </c>
      <c r="V284" s="63" t="s">
        <v>1790</v>
      </c>
      <c r="W284" s="63" t="s">
        <v>1847</v>
      </c>
      <c r="X284" s="62" t="s">
        <v>1932</v>
      </c>
    </row>
    <row r="285" spans="20:24">
      <c r="T285" s="63" t="s">
        <v>1977</v>
      </c>
      <c r="U285" s="63" t="s">
        <v>1758</v>
      </c>
      <c r="V285" s="63" t="s">
        <v>1790</v>
      </c>
      <c r="W285" s="63" t="s">
        <v>1847</v>
      </c>
      <c r="X285" s="62" t="s">
        <v>1932</v>
      </c>
    </row>
    <row r="286" spans="20:24">
      <c r="T286" s="63" t="s">
        <v>2046</v>
      </c>
      <c r="U286" s="63" t="s">
        <v>1758</v>
      </c>
      <c r="V286" s="63" t="s">
        <v>1790</v>
      </c>
      <c r="W286" s="63" t="s">
        <v>1847</v>
      </c>
      <c r="X286" s="62" t="s">
        <v>1932</v>
      </c>
    </row>
    <row r="287" spans="20:24">
      <c r="T287" s="63" t="s">
        <v>2097</v>
      </c>
      <c r="U287" s="63" t="s">
        <v>1739</v>
      </c>
      <c r="V287" s="63" t="s">
        <v>1770</v>
      </c>
      <c r="W287" s="63" t="s">
        <v>1797</v>
      </c>
      <c r="X287" s="62" t="s">
        <v>1932</v>
      </c>
    </row>
    <row r="288" spans="20:24">
      <c r="T288" s="63" t="s">
        <v>1993</v>
      </c>
      <c r="U288" s="63" t="s">
        <v>1758</v>
      </c>
      <c r="V288" s="63" t="s">
        <v>1790</v>
      </c>
      <c r="W288" s="63" t="s">
        <v>1847</v>
      </c>
      <c r="X288" s="62" t="s">
        <v>1932</v>
      </c>
    </row>
    <row r="289" spans="20:24">
      <c r="T289" s="63" t="s">
        <v>1940</v>
      </c>
      <c r="U289" s="63" t="s">
        <v>1758</v>
      </c>
      <c r="V289" s="63" t="s">
        <v>1796</v>
      </c>
      <c r="W289" s="63" t="s">
        <v>1870</v>
      </c>
      <c r="X289" s="62" t="s">
        <v>1932</v>
      </c>
    </row>
    <row r="290" spans="20:24">
      <c r="T290" s="63" t="s">
        <v>2098</v>
      </c>
      <c r="U290" s="63" t="s">
        <v>1739</v>
      </c>
      <c r="V290" s="63" t="s">
        <v>1772</v>
      </c>
      <c r="W290" s="63" t="s">
        <v>1813</v>
      </c>
      <c r="X290" s="62" t="s">
        <v>1932</v>
      </c>
    </row>
    <row r="291" spans="20:24">
      <c r="T291" s="63" t="s">
        <v>2046</v>
      </c>
      <c r="U291" s="63" t="s">
        <v>1758</v>
      </c>
      <c r="V291" s="63" t="s">
        <v>1790</v>
      </c>
      <c r="W291" s="63" t="s">
        <v>1847</v>
      </c>
      <c r="X291" s="62" t="s">
        <v>1932</v>
      </c>
    </row>
    <row r="292" spans="20:24">
      <c r="T292" s="63" t="s">
        <v>2046</v>
      </c>
      <c r="U292" s="63" t="s">
        <v>1758</v>
      </c>
      <c r="V292" s="63" t="s">
        <v>1790</v>
      </c>
      <c r="W292" s="63" t="s">
        <v>1847</v>
      </c>
      <c r="X292" s="62" t="s">
        <v>1932</v>
      </c>
    </row>
    <row r="293" spans="20:24">
      <c r="T293" s="63" t="s">
        <v>2046</v>
      </c>
      <c r="U293" s="63" t="s">
        <v>1758</v>
      </c>
      <c r="V293" s="63" t="s">
        <v>1790</v>
      </c>
      <c r="W293" s="63" t="s">
        <v>1847</v>
      </c>
      <c r="X293" s="62" t="s">
        <v>1932</v>
      </c>
    </row>
    <row r="294" spans="20:24">
      <c r="T294" s="63" t="s">
        <v>1938</v>
      </c>
      <c r="U294" s="63" t="s">
        <v>1758</v>
      </c>
      <c r="V294" s="63" t="s">
        <v>1790</v>
      </c>
      <c r="W294" s="63" t="s">
        <v>1847</v>
      </c>
      <c r="X294" s="62" t="s">
        <v>1932</v>
      </c>
    </row>
    <row r="295" spans="20:24">
      <c r="T295" s="63" t="s">
        <v>1938</v>
      </c>
      <c r="U295" s="63" t="s">
        <v>1758</v>
      </c>
      <c r="V295" s="63" t="s">
        <v>1790</v>
      </c>
      <c r="W295" s="63" t="s">
        <v>1847</v>
      </c>
      <c r="X295" s="62" t="s">
        <v>1932</v>
      </c>
    </row>
    <row r="296" spans="20:24">
      <c r="T296" s="63" t="s">
        <v>1994</v>
      </c>
      <c r="U296" s="63" t="s">
        <v>1758</v>
      </c>
      <c r="V296" s="63" t="s">
        <v>1796</v>
      </c>
      <c r="W296" s="63" t="s">
        <v>1870</v>
      </c>
      <c r="X296" s="62" t="s">
        <v>1932</v>
      </c>
    </row>
    <row r="297" spans="20:24">
      <c r="T297" s="63" t="s">
        <v>2099</v>
      </c>
      <c r="U297" s="63" t="s">
        <v>1758</v>
      </c>
      <c r="V297" s="63" t="s">
        <v>1796</v>
      </c>
      <c r="W297" s="63" t="s">
        <v>1870</v>
      </c>
      <c r="X297" s="62" t="s">
        <v>1932</v>
      </c>
    </row>
    <row r="298" spans="20:24">
      <c r="T298" s="63" t="s">
        <v>2100</v>
      </c>
      <c r="U298" s="63" t="s">
        <v>1739</v>
      </c>
      <c r="V298" s="63" t="s">
        <v>1770</v>
      </c>
      <c r="W298" s="63" t="s">
        <v>1797</v>
      </c>
      <c r="X298" s="62" t="s">
        <v>1932</v>
      </c>
    </row>
    <row r="299" spans="20:24">
      <c r="T299" s="63" t="s">
        <v>1995</v>
      </c>
      <c r="U299" s="63" t="s">
        <v>1739</v>
      </c>
      <c r="V299" s="63" t="s">
        <v>1772</v>
      </c>
      <c r="W299" s="63" t="s">
        <v>1813</v>
      </c>
      <c r="X299" s="62" t="s">
        <v>1932</v>
      </c>
    </row>
    <row r="300" spans="20:24">
      <c r="T300" s="63" t="s">
        <v>1996</v>
      </c>
      <c r="U300" s="63" t="s">
        <v>1758</v>
      </c>
      <c r="V300" s="63" t="s">
        <v>1790</v>
      </c>
      <c r="W300" s="63" t="s">
        <v>1847</v>
      </c>
      <c r="X300" s="63" t="s">
        <v>1891</v>
      </c>
    </row>
    <row r="301" spans="20:24">
      <c r="T301" s="63" t="s">
        <v>1997</v>
      </c>
      <c r="U301" s="63" t="s">
        <v>1739</v>
      </c>
      <c r="V301" s="63" t="s">
        <v>1772</v>
      </c>
      <c r="W301" s="63" t="s">
        <v>1813</v>
      </c>
      <c r="X301" s="62" t="s">
        <v>1932</v>
      </c>
    </row>
    <row r="302" spans="20:24">
      <c r="T302" s="63" t="s">
        <v>2046</v>
      </c>
      <c r="U302" s="63" t="s">
        <v>1758</v>
      </c>
      <c r="V302" s="63" t="s">
        <v>1790</v>
      </c>
      <c r="W302" s="63" t="s">
        <v>1847</v>
      </c>
      <c r="X302" s="62" t="s">
        <v>1932</v>
      </c>
    </row>
    <row r="303" spans="20:24">
      <c r="T303" s="63" t="s">
        <v>2046</v>
      </c>
      <c r="U303" s="63" t="s">
        <v>1758</v>
      </c>
      <c r="V303" s="63" t="s">
        <v>1790</v>
      </c>
      <c r="W303" s="63" t="s">
        <v>1847</v>
      </c>
      <c r="X303" s="62" t="s">
        <v>1932</v>
      </c>
    </row>
    <row r="304" spans="20:24">
      <c r="T304" s="63" t="s">
        <v>2046</v>
      </c>
      <c r="U304" s="63" t="s">
        <v>1758</v>
      </c>
      <c r="V304" s="63" t="s">
        <v>1790</v>
      </c>
      <c r="W304" s="63" t="s">
        <v>1847</v>
      </c>
      <c r="X304" s="62" t="s">
        <v>1932</v>
      </c>
    </row>
    <row r="305" spans="20:24">
      <c r="T305" s="63" t="s">
        <v>1976</v>
      </c>
      <c r="U305" s="63" t="s">
        <v>1758</v>
      </c>
      <c r="V305" s="63" t="s">
        <v>1790</v>
      </c>
      <c r="W305" s="63" t="s">
        <v>1847</v>
      </c>
      <c r="X305" s="62" t="s">
        <v>1932</v>
      </c>
    </row>
    <row r="306" spans="20:24">
      <c r="T306" s="63" t="s">
        <v>1938</v>
      </c>
      <c r="U306" s="63" t="s">
        <v>1758</v>
      </c>
      <c r="V306" s="63" t="s">
        <v>1790</v>
      </c>
      <c r="W306" s="63" t="s">
        <v>1847</v>
      </c>
      <c r="X306" s="62" t="s">
        <v>1932</v>
      </c>
    </row>
    <row r="307" spans="20:24">
      <c r="T307" s="63" t="s">
        <v>2047</v>
      </c>
      <c r="U307" s="63" t="s">
        <v>1758</v>
      </c>
      <c r="V307" s="63" t="s">
        <v>1790</v>
      </c>
      <c r="W307" s="63" t="s">
        <v>1847</v>
      </c>
      <c r="X307" s="63" t="s">
        <v>1893</v>
      </c>
    </row>
    <row r="308" spans="20:24">
      <c r="T308" s="63" t="s">
        <v>1942</v>
      </c>
      <c r="U308" s="63" t="s">
        <v>1758</v>
      </c>
      <c r="V308" s="63" t="s">
        <v>1790</v>
      </c>
      <c r="W308" s="63" t="s">
        <v>1847</v>
      </c>
      <c r="X308" s="62" t="s">
        <v>1932</v>
      </c>
    </row>
    <row r="309" spans="20:24">
      <c r="T309" s="63" t="s">
        <v>1942</v>
      </c>
      <c r="U309" s="63" t="s">
        <v>1758</v>
      </c>
      <c r="V309" s="63" t="s">
        <v>1790</v>
      </c>
      <c r="W309" s="63" t="s">
        <v>1847</v>
      </c>
      <c r="X309" s="62" t="s">
        <v>1932</v>
      </c>
    </row>
    <row r="310" spans="20:24">
      <c r="T310" s="63" t="s">
        <v>2046</v>
      </c>
      <c r="U310" s="63" t="s">
        <v>1758</v>
      </c>
      <c r="V310" s="63" t="s">
        <v>1790</v>
      </c>
      <c r="W310" s="63" t="s">
        <v>1847</v>
      </c>
      <c r="X310" s="62" t="s">
        <v>1932</v>
      </c>
    </row>
    <row r="311" spans="20:24">
      <c r="T311" s="63" t="s">
        <v>1998</v>
      </c>
      <c r="U311" s="63" t="s">
        <v>1739</v>
      </c>
      <c r="V311" s="63" t="s">
        <v>1772</v>
      </c>
      <c r="W311" s="63" t="s">
        <v>1820</v>
      </c>
      <c r="X311" s="62" t="s">
        <v>1932</v>
      </c>
    </row>
    <row r="312" spans="20:24">
      <c r="T312" s="63" t="s">
        <v>2101</v>
      </c>
      <c r="U312" s="63" t="s">
        <v>1739</v>
      </c>
      <c r="V312" s="63" t="s">
        <v>1772</v>
      </c>
      <c r="W312" s="63" t="s">
        <v>1813</v>
      </c>
      <c r="X312" s="62" t="s">
        <v>1932</v>
      </c>
    </row>
    <row r="313" spans="20:24">
      <c r="T313" s="63" t="s">
        <v>2046</v>
      </c>
      <c r="U313" s="63" t="s">
        <v>1758</v>
      </c>
      <c r="V313" s="63" t="s">
        <v>1790</v>
      </c>
      <c r="W313" s="63" t="s">
        <v>1847</v>
      </c>
      <c r="X313" s="62" t="s">
        <v>1932</v>
      </c>
    </row>
    <row r="314" spans="20:24">
      <c r="T314" s="63" t="s">
        <v>2046</v>
      </c>
      <c r="U314" s="63" t="s">
        <v>1758</v>
      </c>
      <c r="V314" s="63" t="s">
        <v>1790</v>
      </c>
      <c r="W314" s="63" t="s">
        <v>1847</v>
      </c>
      <c r="X314" s="62" t="s">
        <v>1932</v>
      </c>
    </row>
    <row r="315" spans="20:24">
      <c r="T315" s="63" t="s">
        <v>2102</v>
      </c>
      <c r="U315" s="63" t="s">
        <v>1739</v>
      </c>
      <c r="V315" s="63" t="s">
        <v>1781</v>
      </c>
      <c r="W315" s="63" t="s">
        <v>1836</v>
      </c>
      <c r="X315" s="62" t="s">
        <v>1932</v>
      </c>
    </row>
    <row r="316" spans="20:24">
      <c r="T316" s="63" t="s">
        <v>1951</v>
      </c>
      <c r="U316" s="63" t="s">
        <v>1758</v>
      </c>
      <c r="V316" s="63" t="s">
        <v>1796</v>
      </c>
      <c r="W316" s="63" t="s">
        <v>1870</v>
      </c>
      <c r="X316" s="62" t="s">
        <v>1932</v>
      </c>
    </row>
    <row r="317" spans="20:24">
      <c r="T317" s="63" t="s">
        <v>2046</v>
      </c>
      <c r="U317" s="63" t="s">
        <v>1758</v>
      </c>
      <c r="V317" s="63" t="s">
        <v>1790</v>
      </c>
      <c r="W317" s="63" t="s">
        <v>1847</v>
      </c>
      <c r="X317" s="62" t="s">
        <v>1932</v>
      </c>
    </row>
    <row r="318" spans="20:24">
      <c r="T318" s="63" t="s">
        <v>2046</v>
      </c>
      <c r="U318" s="63" t="s">
        <v>1758</v>
      </c>
      <c r="V318" s="63" t="s">
        <v>1790</v>
      </c>
      <c r="W318" s="63" t="s">
        <v>1847</v>
      </c>
      <c r="X318" s="62" t="s">
        <v>1932</v>
      </c>
    </row>
    <row r="319" spans="20:24">
      <c r="T319" s="63" t="s">
        <v>2046</v>
      </c>
      <c r="U319" s="63" t="s">
        <v>1758</v>
      </c>
      <c r="V319" s="63" t="s">
        <v>1790</v>
      </c>
      <c r="W319" s="63" t="s">
        <v>1847</v>
      </c>
      <c r="X319" s="62" t="s">
        <v>1932</v>
      </c>
    </row>
    <row r="320" spans="20:24">
      <c r="T320" s="63" t="s">
        <v>1966</v>
      </c>
      <c r="U320" s="63" t="s">
        <v>1739</v>
      </c>
      <c r="V320" s="63" t="s">
        <v>1768</v>
      </c>
      <c r="W320" s="63" t="s">
        <v>1788</v>
      </c>
      <c r="X320" s="62" t="s">
        <v>1932</v>
      </c>
    </row>
    <row r="321" spans="20:24">
      <c r="T321" s="63" t="s">
        <v>1999</v>
      </c>
      <c r="U321" s="63" t="s">
        <v>1739</v>
      </c>
      <c r="V321" s="63" t="s">
        <v>1768</v>
      </c>
      <c r="W321" s="63" t="s">
        <v>1785</v>
      </c>
      <c r="X321" s="62" t="s">
        <v>1932</v>
      </c>
    </row>
    <row r="322" spans="20:24">
      <c r="T322" s="63" t="s">
        <v>2046</v>
      </c>
      <c r="U322" s="63" t="s">
        <v>1758</v>
      </c>
      <c r="V322" s="63" t="s">
        <v>1790</v>
      </c>
      <c r="W322" s="63" t="s">
        <v>1847</v>
      </c>
      <c r="X322" s="62" t="s">
        <v>1932</v>
      </c>
    </row>
    <row r="323" spans="20:24">
      <c r="T323" s="63" t="s">
        <v>1938</v>
      </c>
      <c r="U323" s="63" t="s">
        <v>1758</v>
      </c>
      <c r="V323" s="63" t="s">
        <v>1790</v>
      </c>
      <c r="W323" s="63" t="s">
        <v>1847</v>
      </c>
      <c r="X323" s="62" t="s">
        <v>1932</v>
      </c>
    </row>
    <row r="324" spans="20:24">
      <c r="T324" s="63" t="s">
        <v>2000</v>
      </c>
      <c r="U324" s="63" t="s">
        <v>1739</v>
      </c>
      <c r="V324" s="63" t="s">
        <v>1772</v>
      </c>
      <c r="W324" s="63" t="s">
        <v>1813</v>
      </c>
      <c r="X324" s="62" t="s">
        <v>1932</v>
      </c>
    </row>
    <row r="325" spans="20:24">
      <c r="T325" s="63" t="s">
        <v>1999</v>
      </c>
      <c r="U325" s="63" t="s">
        <v>1739</v>
      </c>
      <c r="V325" s="63" t="s">
        <v>1768</v>
      </c>
      <c r="W325" s="63" t="s">
        <v>1785</v>
      </c>
      <c r="X325" s="62" t="s">
        <v>1932</v>
      </c>
    </row>
    <row r="326" spans="20:24">
      <c r="T326" s="63" t="s">
        <v>2103</v>
      </c>
      <c r="U326" s="63" t="s">
        <v>1739</v>
      </c>
      <c r="V326" s="63" t="s">
        <v>1772</v>
      </c>
      <c r="W326" s="63" t="s">
        <v>1820</v>
      </c>
      <c r="X326" s="62" t="s">
        <v>1932</v>
      </c>
    </row>
    <row r="327" spans="20:24">
      <c r="T327" s="63" t="s">
        <v>1976</v>
      </c>
      <c r="U327" s="63" t="s">
        <v>1758</v>
      </c>
      <c r="V327" s="63" t="s">
        <v>1790</v>
      </c>
      <c r="W327" s="63" t="s">
        <v>1847</v>
      </c>
      <c r="X327" s="62" t="s">
        <v>1932</v>
      </c>
    </row>
    <row r="328" spans="20:24">
      <c r="T328" s="63" t="s">
        <v>2046</v>
      </c>
      <c r="U328" s="63" t="s">
        <v>1758</v>
      </c>
      <c r="V328" s="63" t="s">
        <v>1790</v>
      </c>
      <c r="W328" s="63" t="s">
        <v>1847</v>
      </c>
      <c r="X328" s="62" t="s">
        <v>1932</v>
      </c>
    </row>
    <row r="329" spans="20:24">
      <c r="T329" s="63" t="s">
        <v>2046</v>
      </c>
      <c r="U329" s="63" t="s">
        <v>1758</v>
      </c>
      <c r="V329" s="63" t="s">
        <v>1790</v>
      </c>
      <c r="W329" s="63" t="s">
        <v>1847</v>
      </c>
      <c r="X329" s="62" t="s">
        <v>1932</v>
      </c>
    </row>
    <row r="330" spans="20:24">
      <c r="T330" s="63" t="s">
        <v>1938</v>
      </c>
      <c r="U330" s="63" t="s">
        <v>1758</v>
      </c>
      <c r="V330" s="63" t="s">
        <v>1790</v>
      </c>
      <c r="W330" s="63" t="s">
        <v>1847</v>
      </c>
      <c r="X330" s="62" t="s">
        <v>1932</v>
      </c>
    </row>
    <row r="331" spans="20:24">
      <c r="T331" s="63" t="s">
        <v>1976</v>
      </c>
      <c r="U331" s="63" t="s">
        <v>1758</v>
      </c>
      <c r="V331" s="63" t="s">
        <v>1790</v>
      </c>
      <c r="W331" s="63" t="s">
        <v>1847</v>
      </c>
      <c r="X331" s="62" t="s">
        <v>1932</v>
      </c>
    </row>
    <row r="332" spans="20:24">
      <c r="T332" s="63" t="s">
        <v>2104</v>
      </c>
      <c r="U332" s="63" t="s">
        <v>1739</v>
      </c>
      <c r="V332" s="63" t="s">
        <v>1768</v>
      </c>
      <c r="W332" s="63" t="s">
        <v>1788</v>
      </c>
      <c r="X332" s="62" t="s">
        <v>1932</v>
      </c>
    </row>
    <row r="333" spans="20:24">
      <c r="T333" s="63" t="s">
        <v>2001</v>
      </c>
      <c r="U333" s="63" t="s">
        <v>1739</v>
      </c>
      <c r="V333" s="63" t="s">
        <v>1784</v>
      </c>
      <c r="W333" s="63" t="s">
        <v>1838</v>
      </c>
      <c r="X333" s="62" t="s">
        <v>1932</v>
      </c>
    </row>
    <row r="334" spans="20:24">
      <c r="T334" s="63" t="s">
        <v>2002</v>
      </c>
      <c r="U334" s="63" t="s">
        <v>1758</v>
      </c>
      <c r="V334" s="63" t="s">
        <v>1793</v>
      </c>
      <c r="W334" s="63" t="s">
        <v>1855</v>
      </c>
      <c r="X334" s="62" t="s">
        <v>1932</v>
      </c>
    </row>
    <row r="335" spans="20:24">
      <c r="T335" s="63" t="s">
        <v>2046</v>
      </c>
      <c r="U335" s="63" t="s">
        <v>1758</v>
      </c>
      <c r="V335" s="63" t="s">
        <v>1790</v>
      </c>
      <c r="W335" s="63" t="s">
        <v>1847</v>
      </c>
      <c r="X335" s="62" t="s">
        <v>1932</v>
      </c>
    </row>
    <row r="336" spans="20:24">
      <c r="T336" s="63" t="s">
        <v>2046</v>
      </c>
      <c r="U336" s="63" t="s">
        <v>1758</v>
      </c>
      <c r="V336" s="63" t="s">
        <v>1790</v>
      </c>
      <c r="W336" s="63" t="s">
        <v>1847</v>
      </c>
      <c r="X336" s="62" t="s">
        <v>1932</v>
      </c>
    </row>
    <row r="337" spans="20:24">
      <c r="T337" s="63" t="s">
        <v>2046</v>
      </c>
      <c r="U337" s="63" t="s">
        <v>1758</v>
      </c>
      <c r="V337" s="63" t="s">
        <v>1790</v>
      </c>
      <c r="W337" s="63" t="s">
        <v>1847</v>
      </c>
      <c r="X337" s="62" t="s">
        <v>1932</v>
      </c>
    </row>
    <row r="338" spans="20:24">
      <c r="T338" s="63" t="s">
        <v>2046</v>
      </c>
      <c r="U338" s="63" t="s">
        <v>1758</v>
      </c>
      <c r="V338" s="63" t="s">
        <v>1790</v>
      </c>
      <c r="W338" s="63" t="s">
        <v>1847</v>
      </c>
      <c r="X338" s="62" t="s">
        <v>1932</v>
      </c>
    </row>
    <row r="339" spans="20:24">
      <c r="T339" s="63" t="s">
        <v>1966</v>
      </c>
      <c r="U339" s="63" t="s">
        <v>1739</v>
      </c>
      <c r="V339" s="63" t="s">
        <v>1768</v>
      </c>
      <c r="W339" s="63" t="s">
        <v>1788</v>
      </c>
      <c r="X339" s="62" t="s">
        <v>1932</v>
      </c>
    </row>
    <row r="340" spans="20:24">
      <c r="T340" s="63" t="s">
        <v>1967</v>
      </c>
      <c r="U340" s="63" t="s">
        <v>1758</v>
      </c>
      <c r="V340" s="63" t="s">
        <v>1790</v>
      </c>
      <c r="W340" s="63" t="s">
        <v>1847</v>
      </c>
      <c r="X340" s="62" t="s">
        <v>1932</v>
      </c>
    </row>
    <row r="341" spans="20:24">
      <c r="T341" s="63" t="s">
        <v>2084</v>
      </c>
      <c r="U341" s="63" t="s">
        <v>1739</v>
      </c>
      <c r="V341" s="63" t="s">
        <v>1772</v>
      </c>
      <c r="W341" s="63" t="s">
        <v>1813</v>
      </c>
      <c r="X341" s="62" t="s">
        <v>1932</v>
      </c>
    </row>
    <row r="342" spans="20:24">
      <c r="T342" s="63" t="s">
        <v>2084</v>
      </c>
      <c r="U342" s="63" t="s">
        <v>1739</v>
      </c>
      <c r="V342" s="63" t="s">
        <v>1772</v>
      </c>
      <c r="W342" s="63" t="s">
        <v>1813</v>
      </c>
      <c r="X342" s="62" t="s">
        <v>1932</v>
      </c>
    </row>
    <row r="343" spans="20:24">
      <c r="T343" s="63" t="s">
        <v>1944</v>
      </c>
      <c r="U343" s="63" t="s">
        <v>1758</v>
      </c>
      <c r="V343" s="63" t="s">
        <v>1790</v>
      </c>
      <c r="W343" s="63" t="s">
        <v>1847</v>
      </c>
      <c r="X343" s="62" t="s">
        <v>1932</v>
      </c>
    </row>
    <row r="344" spans="20:24">
      <c r="T344" s="63" t="s">
        <v>2105</v>
      </c>
      <c r="U344" s="63" t="s">
        <v>1739</v>
      </c>
      <c r="V344" s="63" t="s">
        <v>1772</v>
      </c>
      <c r="W344" s="63" t="s">
        <v>1813</v>
      </c>
      <c r="X344" s="62" t="s">
        <v>1932</v>
      </c>
    </row>
    <row r="345" spans="20:24">
      <c r="T345" s="63" t="s">
        <v>2046</v>
      </c>
      <c r="U345" s="63" t="s">
        <v>1758</v>
      </c>
      <c r="V345" s="63" t="s">
        <v>1790</v>
      </c>
      <c r="W345" s="63" t="s">
        <v>1847</v>
      </c>
      <c r="X345" s="62" t="s">
        <v>1932</v>
      </c>
    </row>
    <row r="346" spans="20:24">
      <c r="T346" s="63" t="s">
        <v>2046</v>
      </c>
      <c r="U346" s="63" t="s">
        <v>1758</v>
      </c>
      <c r="V346" s="63" t="s">
        <v>1790</v>
      </c>
      <c r="W346" s="63" t="s">
        <v>1847</v>
      </c>
      <c r="X346" s="62" t="s">
        <v>1932</v>
      </c>
    </row>
    <row r="347" spans="20:24">
      <c r="T347" s="63" t="s">
        <v>1976</v>
      </c>
      <c r="U347" s="63" t="s">
        <v>1758</v>
      </c>
      <c r="V347" s="63" t="s">
        <v>1790</v>
      </c>
      <c r="W347" s="63" t="s">
        <v>1847</v>
      </c>
      <c r="X347" s="63" t="s">
        <v>1893</v>
      </c>
    </row>
    <row r="348" spans="20:24">
      <c r="T348" s="63" t="s">
        <v>2052</v>
      </c>
      <c r="U348" s="63" t="s">
        <v>1758</v>
      </c>
      <c r="V348" s="63" t="s">
        <v>1790</v>
      </c>
      <c r="W348" s="63" t="s">
        <v>1847</v>
      </c>
      <c r="X348" s="62" t="s">
        <v>1932</v>
      </c>
    </row>
    <row r="349" spans="20:24">
      <c r="T349" s="63" t="s">
        <v>2106</v>
      </c>
      <c r="U349" s="63" t="s">
        <v>1739</v>
      </c>
      <c r="V349" s="63" t="s">
        <v>1784</v>
      </c>
      <c r="W349" s="63" t="s">
        <v>1838</v>
      </c>
      <c r="X349" s="62" t="s">
        <v>1932</v>
      </c>
    </row>
    <row r="350" spans="20:24">
      <c r="T350" s="63" t="s">
        <v>2003</v>
      </c>
      <c r="U350" s="63" t="s">
        <v>1739</v>
      </c>
      <c r="V350" s="63" t="s">
        <v>1776</v>
      </c>
      <c r="W350" s="63" t="s">
        <v>1830</v>
      </c>
      <c r="X350" s="62" t="s">
        <v>1932</v>
      </c>
    </row>
    <row r="351" spans="20:24">
      <c r="T351" s="63" t="s">
        <v>2046</v>
      </c>
      <c r="U351" s="63" t="s">
        <v>1758</v>
      </c>
      <c r="V351" s="63" t="s">
        <v>1790</v>
      </c>
      <c r="W351" s="63" t="s">
        <v>1847</v>
      </c>
      <c r="X351" s="62" t="s">
        <v>1932</v>
      </c>
    </row>
    <row r="352" spans="20:24">
      <c r="T352" s="63" t="s">
        <v>2046</v>
      </c>
      <c r="U352" s="63" t="s">
        <v>1758</v>
      </c>
      <c r="V352" s="63" t="s">
        <v>1790</v>
      </c>
      <c r="W352" s="63" t="s">
        <v>1847</v>
      </c>
      <c r="X352" s="62" t="s">
        <v>1932</v>
      </c>
    </row>
    <row r="353" spans="20:24">
      <c r="T353" s="63" t="s">
        <v>2046</v>
      </c>
      <c r="U353" s="63" t="s">
        <v>1758</v>
      </c>
      <c r="V353" s="63" t="s">
        <v>1790</v>
      </c>
      <c r="W353" s="63" t="s">
        <v>1847</v>
      </c>
      <c r="X353" s="62" t="s">
        <v>1932</v>
      </c>
    </row>
    <row r="354" spans="20:24">
      <c r="T354" s="63" t="s">
        <v>1938</v>
      </c>
      <c r="U354" s="63" t="s">
        <v>1758</v>
      </c>
      <c r="V354" s="63" t="s">
        <v>1790</v>
      </c>
      <c r="W354" s="63" t="s">
        <v>1847</v>
      </c>
      <c r="X354" s="62" t="s">
        <v>1932</v>
      </c>
    </row>
    <row r="355" spans="20:24">
      <c r="T355" s="63" t="s">
        <v>2004</v>
      </c>
      <c r="U355" s="63" t="s">
        <v>1758</v>
      </c>
      <c r="V355" s="63" t="s">
        <v>1793</v>
      </c>
      <c r="W355" s="63" t="s">
        <v>1855</v>
      </c>
      <c r="X355" s="62" t="s">
        <v>1932</v>
      </c>
    </row>
    <row r="356" spans="20:24">
      <c r="T356" s="63" t="s">
        <v>2046</v>
      </c>
      <c r="U356" s="63" t="s">
        <v>1758</v>
      </c>
      <c r="V356" s="63" t="s">
        <v>1790</v>
      </c>
      <c r="W356" s="63" t="s">
        <v>1847</v>
      </c>
      <c r="X356" s="62" t="s">
        <v>1932</v>
      </c>
    </row>
    <row r="357" spans="20:24">
      <c r="T357" s="63" t="s">
        <v>2107</v>
      </c>
      <c r="U357" s="63" t="s">
        <v>1739</v>
      </c>
      <c r="V357" s="63" t="s">
        <v>1768</v>
      </c>
      <c r="W357" s="63" t="s">
        <v>1794</v>
      </c>
      <c r="X357" s="62" t="s">
        <v>1932</v>
      </c>
    </row>
    <row r="358" spans="20:24">
      <c r="T358" s="63" t="s">
        <v>2005</v>
      </c>
      <c r="U358" s="63" t="s">
        <v>1758</v>
      </c>
      <c r="V358" s="63" t="s">
        <v>1790</v>
      </c>
      <c r="W358" s="63" t="s">
        <v>1847</v>
      </c>
      <c r="X358" s="62" t="s">
        <v>1932</v>
      </c>
    </row>
    <row r="359" spans="20:24">
      <c r="T359" s="63" t="s">
        <v>2108</v>
      </c>
      <c r="U359" s="63" t="s">
        <v>1758</v>
      </c>
      <c r="V359" s="63" t="s">
        <v>1790</v>
      </c>
      <c r="W359" s="63" t="s">
        <v>1847</v>
      </c>
      <c r="X359" s="62" t="s">
        <v>1932</v>
      </c>
    </row>
    <row r="360" spans="20:24">
      <c r="T360" s="63" t="s">
        <v>2046</v>
      </c>
      <c r="U360" s="63" t="s">
        <v>1758</v>
      </c>
      <c r="V360" s="63" t="s">
        <v>1790</v>
      </c>
      <c r="W360" s="63" t="s">
        <v>1847</v>
      </c>
      <c r="X360" s="62" t="s">
        <v>1932</v>
      </c>
    </row>
    <row r="361" spans="20:24">
      <c r="T361" s="63" t="s">
        <v>2049</v>
      </c>
      <c r="U361" s="63" t="s">
        <v>1758</v>
      </c>
      <c r="V361" s="63" t="s">
        <v>1790</v>
      </c>
      <c r="W361" s="63" t="s">
        <v>1847</v>
      </c>
      <c r="X361" s="63" t="s">
        <v>1893</v>
      </c>
    </row>
    <row r="362" spans="20:24">
      <c r="T362" s="63" t="s">
        <v>2109</v>
      </c>
      <c r="U362" s="63" t="s">
        <v>1758</v>
      </c>
      <c r="V362" s="63" t="s">
        <v>1796</v>
      </c>
      <c r="W362" s="63" t="s">
        <v>1870</v>
      </c>
      <c r="X362" s="62" t="s">
        <v>1932</v>
      </c>
    </row>
    <row r="363" spans="20:24">
      <c r="T363" s="63" t="s">
        <v>2046</v>
      </c>
      <c r="U363" s="63" t="s">
        <v>1758</v>
      </c>
      <c r="V363" s="63" t="s">
        <v>1790</v>
      </c>
      <c r="W363" s="63" t="s">
        <v>1847</v>
      </c>
      <c r="X363" s="62" t="s">
        <v>1932</v>
      </c>
    </row>
    <row r="364" spans="20:24">
      <c r="T364" s="63" t="s">
        <v>2046</v>
      </c>
      <c r="U364" s="63" t="s">
        <v>1758</v>
      </c>
      <c r="V364" s="63" t="s">
        <v>1790</v>
      </c>
      <c r="W364" s="63" t="s">
        <v>1847</v>
      </c>
      <c r="X364" s="62" t="s">
        <v>1932</v>
      </c>
    </row>
    <row r="365" spans="20:24">
      <c r="T365" s="63" t="s">
        <v>1942</v>
      </c>
      <c r="U365" s="63" t="s">
        <v>1758</v>
      </c>
      <c r="V365" s="63" t="s">
        <v>1790</v>
      </c>
      <c r="W365" s="63" t="s">
        <v>1847</v>
      </c>
      <c r="X365" s="62" t="s">
        <v>1932</v>
      </c>
    </row>
    <row r="366" spans="20:24">
      <c r="T366" s="63" t="s">
        <v>2006</v>
      </c>
      <c r="U366" s="63" t="s">
        <v>1739</v>
      </c>
      <c r="V366" s="63" t="s">
        <v>1768</v>
      </c>
      <c r="W366" s="63" t="s">
        <v>1788</v>
      </c>
      <c r="X366" s="62" t="s">
        <v>1932</v>
      </c>
    </row>
    <row r="367" spans="20:24">
      <c r="T367" s="63" t="s">
        <v>1944</v>
      </c>
      <c r="U367" s="63" t="s">
        <v>1758</v>
      </c>
      <c r="V367" s="63" t="s">
        <v>1790</v>
      </c>
      <c r="W367" s="63" t="s">
        <v>1847</v>
      </c>
      <c r="X367" s="62" t="s">
        <v>1932</v>
      </c>
    </row>
    <row r="368" spans="20:24">
      <c r="T368" s="63" t="s">
        <v>2046</v>
      </c>
      <c r="U368" s="63" t="s">
        <v>1758</v>
      </c>
      <c r="V368" s="63" t="s">
        <v>1790</v>
      </c>
      <c r="W368" s="63" t="s">
        <v>1847</v>
      </c>
      <c r="X368" s="62" t="s">
        <v>1932</v>
      </c>
    </row>
    <row r="369" spans="20:24">
      <c r="T369" s="63" t="s">
        <v>2046</v>
      </c>
      <c r="U369" s="63" t="s">
        <v>1758</v>
      </c>
      <c r="V369" s="63" t="s">
        <v>1790</v>
      </c>
      <c r="W369" s="63" t="s">
        <v>1847</v>
      </c>
      <c r="X369" s="62" t="s">
        <v>1932</v>
      </c>
    </row>
    <row r="370" spans="20:24">
      <c r="T370" s="63" t="s">
        <v>2007</v>
      </c>
      <c r="U370" s="63" t="s">
        <v>1758</v>
      </c>
      <c r="V370" s="63" t="s">
        <v>1790</v>
      </c>
      <c r="W370" s="63" t="s">
        <v>1847</v>
      </c>
      <c r="X370" s="62" t="s">
        <v>1932</v>
      </c>
    </row>
    <row r="371" spans="20:24">
      <c r="T371" s="63" t="s">
        <v>2046</v>
      </c>
      <c r="U371" s="63" t="s">
        <v>1758</v>
      </c>
      <c r="V371" s="63" t="s">
        <v>1790</v>
      </c>
      <c r="W371" s="63" t="s">
        <v>1847</v>
      </c>
      <c r="X371" s="62" t="s">
        <v>1932</v>
      </c>
    </row>
    <row r="372" spans="20:24">
      <c r="T372" s="63" t="s">
        <v>1944</v>
      </c>
      <c r="U372" s="63" t="s">
        <v>1758</v>
      </c>
      <c r="V372" s="63" t="s">
        <v>1790</v>
      </c>
      <c r="W372" s="63" t="s">
        <v>1847</v>
      </c>
      <c r="X372" s="62" t="s">
        <v>1932</v>
      </c>
    </row>
    <row r="373" spans="20:24">
      <c r="T373" s="63" t="s">
        <v>2110</v>
      </c>
      <c r="U373" s="63" t="s">
        <v>1739</v>
      </c>
      <c r="V373" s="63" t="s">
        <v>1784</v>
      </c>
      <c r="W373" s="63" t="s">
        <v>1838</v>
      </c>
      <c r="X373" s="62" t="s">
        <v>1932</v>
      </c>
    </row>
    <row r="374" spans="20:24">
      <c r="T374" s="63" t="s">
        <v>2051</v>
      </c>
      <c r="U374" s="63" t="s">
        <v>1739</v>
      </c>
      <c r="V374" s="63" t="s">
        <v>1768</v>
      </c>
      <c r="W374" s="63" t="s">
        <v>1788</v>
      </c>
      <c r="X374" s="62" t="s">
        <v>1932</v>
      </c>
    </row>
    <row r="375" spans="20:24">
      <c r="T375" s="63" t="s">
        <v>2111</v>
      </c>
      <c r="U375" s="63" t="s">
        <v>1758</v>
      </c>
      <c r="V375" s="63" t="s">
        <v>1790</v>
      </c>
      <c r="W375" s="63" t="s">
        <v>1847</v>
      </c>
      <c r="X375" s="63" t="s">
        <v>1893</v>
      </c>
    </row>
    <row r="376" spans="20:24">
      <c r="T376" s="63" t="s">
        <v>2046</v>
      </c>
      <c r="U376" s="63" t="s">
        <v>1758</v>
      </c>
      <c r="V376" s="63" t="s">
        <v>1790</v>
      </c>
      <c r="W376" s="63" t="s">
        <v>1847</v>
      </c>
      <c r="X376" s="62" t="s">
        <v>1932</v>
      </c>
    </row>
    <row r="377" spans="20:24">
      <c r="T377" s="63" t="s">
        <v>2046</v>
      </c>
      <c r="U377" s="63" t="s">
        <v>1758</v>
      </c>
      <c r="V377" s="63" t="s">
        <v>1790</v>
      </c>
      <c r="W377" s="63" t="s">
        <v>1847</v>
      </c>
      <c r="X377" s="62" t="s">
        <v>1932</v>
      </c>
    </row>
    <row r="378" spans="20:24">
      <c r="T378" s="63" t="s">
        <v>2052</v>
      </c>
      <c r="U378" s="63" t="s">
        <v>1758</v>
      </c>
      <c r="V378" s="63" t="s">
        <v>1790</v>
      </c>
      <c r="W378" s="63" t="s">
        <v>1847</v>
      </c>
      <c r="X378" s="63" t="s">
        <v>1893</v>
      </c>
    </row>
    <row r="379" spans="20:24">
      <c r="T379" s="63" t="s">
        <v>2052</v>
      </c>
      <c r="U379" s="63" t="s">
        <v>1758</v>
      </c>
      <c r="V379" s="63" t="s">
        <v>1790</v>
      </c>
      <c r="W379" s="63" t="s">
        <v>1847</v>
      </c>
      <c r="X379" s="63" t="s">
        <v>1893</v>
      </c>
    </row>
    <row r="380" spans="20:24">
      <c r="T380" s="63" t="s">
        <v>2046</v>
      </c>
      <c r="U380" s="63" t="s">
        <v>1758</v>
      </c>
      <c r="V380" s="63" t="s">
        <v>1790</v>
      </c>
      <c r="W380" s="63" t="s">
        <v>1847</v>
      </c>
      <c r="X380" s="62" t="s">
        <v>1932</v>
      </c>
    </row>
    <row r="381" spans="20:24">
      <c r="T381" s="63" t="s">
        <v>2046</v>
      </c>
      <c r="U381" s="63" t="s">
        <v>1758</v>
      </c>
      <c r="V381" s="63" t="s">
        <v>1790</v>
      </c>
      <c r="W381" s="63" t="s">
        <v>1847</v>
      </c>
      <c r="X381" s="62" t="s">
        <v>1932</v>
      </c>
    </row>
    <row r="382" spans="20:24">
      <c r="T382" s="63" t="s">
        <v>1940</v>
      </c>
      <c r="U382" s="63" t="s">
        <v>1758</v>
      </c>
      <c r="V382" s="63" t="s">
        <v>1796</v>
      </c>
      <c r="W382" s="63" t="s">
        <v>1870</v>
      </c>
      <c r="X382" s="62" t="s">
        <v>1932</v>
      </c>
    </row>
    <row r="383" spans="20:24">
      <c r="T383" s="63" t="s">
        <v>2112</v>
      </c>
      <c r="U383" s="63" t="s">
        <v>1758</v>
      </c>
      <c r="V383" s="63" t="s">
        <v>1796</v>
      </c>
      <c r="W383" s="63" t="s">
        <v>1870</v>
      </c>
      <c r="X383" s="62" t="s">
        <v>1932</v>
      </c>
    </row>
    <row r="384" spans="20:24">
      <c r="T384" s="63" t="s">
        <v>2108</v>
      </c>
      <c r="U384" s="63" t="s">
        <v>1758</v>
      </c>
      <c r="V384" s="63" t="s">
        <v>1790</v>
      </c>
      <c r="W384" s="63" t="s">
        <v>1847</v>
      </c>
      <c r="X384" s="62" t="s">
        <v>1932</v>
      </c>
    </row>
    <row r="385" spans="20:24">
      <c r="T385" s="63" t="s">
        <v>2103</v>
      </c>
      <c r="U385" s="63" t="s">
        <v>1739</v>
      </c>
      <c r="V385" s="63" t="s">
        <v>1772</v>
      </c>
      <c r="W385" s="63" t="s">
        <v>1820</v>
      </c>
      <c r="X385" s="62" t="s">
        <v>1932</v>
      </c>
    </row>
    <row r="386" spans="20:24">
      <c r="T386" s="63" t="s">
        <v>2046</v>
      </c>
      <c r="U386" s="63" t="s">
        <v>1758</v>
      </c>
      <c r="V386" s="63" t="s">
        <v>1790</v>
      </c>
      <c r="W386" s="63" t="s">
        <v>1847</v>
      </c>
      <c r="X386" s="62" t="s">
        <v>1932</v>
      </c>
    </row>
    <row r="387" spans="20:24">
      <c r="T387" s="63" t="s">
        <v>2094</v>
      </c>
      <c r="U387" s="63" t="s">
        <v>1739</v>
      </c>
      <c r="V387" s="63" t="s">
        <v>1772</v>
      </c>
      <c r="W387" s="63" t="s">
        <v>1813</v>
      </c>
      <c r="X387" s="62" t="s">
        <v>1932</v>
      </c>
    </row>
    <row r="388" spans="20:24">
      <c r="T388" s="63" t="s">
        <v>1938</v>
      </c>
      <c r="U388" s="63" t="s">
        <v>1758</v>
      </c>
      <c r="V388" s="63" t="s">
        <v>1790</v>
      </c>
      <c r="W388" s="63" t="s">
        <v>1847</v>
      </c>
      <c r="X388" s="62" t="s">
        <v>1932</v>
      </c>
    </row>
    <row r="389" spans="20:24">
      <c r="T389" s="63" t="s">
        <v>2047</v>
      </c>
      <c r="U389" s="63" t="s">
        <v>1758</v>
      </c>
      <c r="V389" s="63" t="s">
        <v>1793</v>
      </c>
      <c r="W389" s="63" t="s">
        <v>1855</v>
      </c>
      <c r="X389" s="62" t="s">
        <v>1932</v>
      </c>
    </row>
    <row r="390" spans="20:24">
      <c r="T390" s="63" t="s">
        <v>1976</v>
      </c>
      <c r="U390" s="63" t="s">
        <v>1758</v>
      </c>
      <c r="V390" s="63" t="s">
        <v>1790</v>
      </c>
      <c r="W390" s="63" t="s">
        <v>1847</v>
      </c>
      <c r="X390" s="62" t="s">
        <v>1932</v>
      </c>
    </row>
    <row r="391" spans="20:24">
      <c r="T391" s="63" t="s">
        <v>1938</v>
      </c>
      <c r="U391" s="63" t="s">
        <v>1758</v>
      </c>
      <c r="V391" s="63" t="s">
        <v>1790</v>
      </c>
      <c r="W391" s="63" t="s">
        <v>1847</v>
      </c>
      <c r="X391" s="62" t="s">
        <v>1932</v>
      </c>
    </row>
    <row r="392" spans="20:24">
      <c r="T392" s="63" t="s">
        <v>1944</v>
      </c>
      <c r="U392" s="63" t="s">
        <v>1758</v>
      </c>
      <c r="V392" s="63" t="s">
        <v>1790</v>
      </c>
      <c r="W392" s="63" t="s">
        <v>1847</v>
      </c>
      <c r="X392" s="62" t="s">
        <v>1932</v>
      </c>
    </row>
    <row r="393" spans="20:24">
      <c r="T393" s="63" t="s">
        <v>1950</v>
      </c>
      <c r="U393" s="63" t="s">
        <v>1758</v>
      </c>
      <c r="V393" s="63" t="s">
        <v>1790</v>
      </c>
      <c r="W393" s="63" t="s">
        <v>1847</v>
      </c>
      <c r="X393" s="62" t="s">
        <v>1932</v>
      </c>
    </row>
    <row r="394" spans="20:24">
      <c r="T394" s="63" t="s">
        <v>2046</v>
      </c>
      <c r="U394" s="63" t="s">
        <v>1758</v>
      </c>
      <c r="V394" s="63" t="s">
        <v>1790</v>
      </c>
      <c r="W394" s="63" t="s">
        <v>1847</v>
      </c>
      <c r="X394" s="62" t="s">
        <v>1932</v>
      </c>
    </row>
    <row r="395" spans="20:24">
      <c r="T395" s="63" t="s">
        <v>2046</v>
      </c>
      <c r="U395" s="63" t="s">
        <v>1758</v>
      </c>
      <c r="V395" s="63" t="s">
        <v>1790</v>
      </c>
      <c r="W395" s="63" t="s">
        <v>1847</v>
      </c>
      <c r="X395" s="62" t="s">
        <v>1932</v>
      </c>
    </row>
    <row r="396" spans="20:24">
      <c r="T396" s="63" t="s">
        <v>1944</v>
      </c>
      <c r="U396" s="63" t="s">
        <v>1758</v>
      </c>
      <c r="V396" s="63" t="s">
        <v>1790</v>
      </c>
      <c r="W396" s="63" t="s">
        <v>1847</v>
      </c>
      <c r="X396" s="62" t="s">
        <v>1932</v>
      </c>
    </row>
    <row r="397" spans="20:24">
      <c r="T397" s="63" t="s">
        <v>2113</v>
      </c>
      <c r="U397" s="63" t="s">
        <v>1739</v>
      </c>
      <c r="V397" s="63" t="s">
        <v>1784</v>
      </c>
      <c r="W397" s="63" t="s">
        <v>1838</v>
      </c>
      <c r="X397" s="62" t="s">
        <v>1932</v>
      </c>
    </row>
    <row r="398" spans="20:24">
      <c r="T398" s="63" t="s">
        <v>2114</v>
      </c>
      <c r="U398" s="63" t="s">
        <v>1739</v>
      </c>
      <c r="V398" s="63" t="s">
        <v>1784</v>
      </c>
      <c r="W398" s="63" t="s">
        <v>1838</v>
      </c>
      <c r="X398" s="62" t="s">
        <v>1932</v>
      </c>
    </row>
    <row r="399" spans="20:24">
      <c r="T399" s="63" t="s">
        <v>2008</v>
      </c>
      <c r="U399" s="63" t="s">
        <v>1739</v>
      </c>
      <c r="V399" s="63" t="s">
        <v>1784</v>
      </c>
      <c r="W399" s="63" t="s">
        <v>1838</v>
      </c>
      <c r="X399" s="62" t="s">
        <v>1932</v>
      </c>
    </row>
    <row r="400" spans="20:24">
      <c r="T400" s="63" t="s">
        <v>2115</v>
      </c>
      <c r="U400" s="63" t="s">
        <v>1739</v>
      </c>
      <c r="V400" s="63" t="s">
        <v>1784</v>
      </c>
      <c r="W400" s="63" t="s">
        <v>1838</v>
      </c>
      <c r="X400" s="62" t="s">
        <v>1932</v>
      </c>
    </row>
    <row r="401" spans="20:24">
      <c r="T401" s="63" t="s">
        <v>2115</v>
      </c>
      <c r="U401" s="63" t="s">
        <v>1739</v>
      </c>
      <c r="V401" s="63" t="s">
        <v>1784</v>
      </c>
      <c r="W401" s="63" t="s">
        <v>1838</v>
      </c>
      <c r="X401" s="62" t="s">
        <v>1932</v>
      </c>
    </row>
    <row r="402" spans="20:24">
      <c r="T402" s="63" t="s">
        <v>2115</v>
      </c>
      <c r="U402" s="63" t="s">
        <v>1739</v>
      </c>
      <c r="V402" s="63" t="s">
        <v>1784</v>
      </c>
      <c r="W402" s="63" t="s">
        <v>1838</v>
      </c>
      <c r="X402" s="62" t="s">
        <v>1932</v>
      </c>
    </row>
    <row r="403" spans="20:24">
      <c r="T403" s="63" t="s">
        <v>2009</v>
      </c>
      <c r="U403" s="63" t="s">
        <v>1739</v>
      </c>
      <c r="V403" s="63" t="s">
        <v>1784</v>
      </c>
      <c r="W403" s="63" t="s">
        <v>1838</v>
      </c>
      <c r="X403" s="62" t="s">
        <v>1932</v>
      </c>
    </row>
    <row r="404" spans="20:24">
      <c r="T404" s="63" t="s">
        <v>2046</v>
      </c>
      <c r="U404" s="63" t="s">
        <v>1758</v>
      </c>
      <c r="V404" s="63" t="s">
        <v>1790</v>
      </c>
      <c r="W404" s="63" t="s">
        <v>1847</v>
      </c>
      <c r="X404" s="62" t="s">
        <v>1932</v>
      </c>
    </row>
    <row r="405" spans="20:24">
      <c r="T405" s="63" t="s">
        <v>1966</v>
      </c>
      <c r="U405" s="63" t="s">
        <v>1739</v>
      </c>
      <c r="V405" s="63" t="s">
        <v>1768</v>
      </c>
      <c r="W405" s="63" t="s">
        <v>1788</v>
      </c>
      <c r="X405" s="62" t="s">
        <v>1932</v>
      </c>
    </row>
    <row r="406" spans="20:24">
      <c r="T406" s="63" t="s">
        <v>1966</v>
      </c>
      <c r="U406" s="63" t="s">
        <v>1739</v>
      </c>
      <c r="V406" s="63" t="s">
        <v>1768</v>
      </c>
      <c r="W406" s="63" t="s">
        <v>1788</v>
      </c>
      <c r="X406" s="62" t="s">
        <v>1932</v>
      </c>
    </row>
    <row r="407" spans="20:24">
      <c r="T407" s="63" t="s">
        <v>1944</v>
      </c>
      <c r="U407" s="63" t="s">
        <v>1758</v>
      </c>
      <c r="V407" s="63" t="s">
        <v>1790</v>
      </c>
      <c r="W407" s="63" t="s">
        <v>1847</v>
      </c>
      <c r="X407" s="62" t="s">
        <v>1932</v>
      </c>
    </row>
    <row r="408" spans="20:24">
      <c r="T408" s="63" t="s">
        <v>2046</v>
      </c>
      <c r="U408" s="63" t="s">
        <v>1758</v>
      </c>
      <c r="V408" s="63" t="s">
        <v>1790</v>
      </c>
      <c r="W408" s="63" t="s">
        <v>1847</v>
      </c>
      <c r="X408" s="62" t="s">
        <v>1932</v>
      </c>
    </row>
    <row r="409" spans="20:24">
      <c r="T409" s="63" t="s">
        <v>2046</v>
      </c>
      <c r="U409" s="63" t="s">
        <v>1758</v>
      </c>
      <c r="V409" s="63" t="s">
        <v>1790</v>
      </c>
      <c r="W409" s="63" t="s">
        <v>1847</v>
      </c>
      <c r="X409" s="62" t="s">
        <v>1932</v>
      </c>
    </row>
    <row r="410" spans="20:24">
      <c r="T410" s="63" t="s">
        <v>2046</v>
      </c>
      <c r="U410" s="63" t="s">
        <v>1758</v>
      </c>
      <c r="V410" s="63" t="s">
        <v>1790</v>
      </c>
      <c r="W410" s="63" t="s">
        <v>1847</v>
      </c>
      <c r="X410" s="62" t="s">
        <v>1932</v>
      </c>
    </row>
    <row r="411" spans="20:24">
      <c r="T411" s="63" t="s">
        <v>2046</v>
      </c>
      <c r="U411" s="63" t="s">
        <v>1758</v>
      </c>
      <c r="V411" s="63" t="s">
        <v>1790</v>
      </c>
      <c r="W411" s="63" t="s">
        <v>1847</v>
      </c>
      <c r="X411" s="62" t="s">
        <v>1932</v>
      </c>
    </row>
    <row r="412" spans="20:24">
      <c r="T412" s="63" t="s">
        <v>2046</v>
      </c>
      <c r="U412" s="63" t="s">
        <v>1758</v>
      </c>
      <c r="V412" s="63" t="s">
        <v>1790</v>
      </c>
      <c r="W412" s="63" t="s">
        <v>1847</v>
      </c>
      <c r="X412" s="62" t="s">
        <v>1932</v>
      </c>
    </row>
    <row r="413" spans="20:24">
      <c r="T413" s="63" t="s">
        <v>2084</v>
      </c>
      <c r="U413" s="63" t="s">
        <v>1739</v>
      </c>
      <c r="V413" s="63" t="s">
        <v>1772</v>
      </c>
      <c r="W413" s="63" t="s">
        <v>1813</v>
      </c>
      <c r="X413" s="62" t="s">
        <v>1932</v>
      </c>
    </row>
    <row r="414" spans="20:24">
      <c r="T414" s="63" t="s">
        <v>2046</v>
      </c>
      <c r="U414" s="63" t="s">
        <v>1758</v>
      </c>
      <c r="V414" s="63" t="s">
        <v>1790</v>
      </c>
      <c r="W414" s="63" t="s">
        <v>1847</v>
      </c>
      <c r="X414" s="62" t="s">
        <v>1932</v>
      </c>
    </row>
    <row r="415" spans="20:24">
      <c r="T415" s="63" t="s">
        <v>2051</v>
      </c>
      <c r="U415" s="63" t="s">
        <v>1739</v>
      </c>
      <c r="V415" s="63" t="s">
        <v>1768</v>
      </c>
      <c r="W415" s="63" t="s">
        <v>1788</v>
      </c>
      <c r="X415" s="62" t="s">
        <v>1932</v>
      </c>
    </row>
    <row r="416" spans="20:24">
      <c r="T416" s="63" t="s">
        <v>1953</v>
      </c>
      <c r="U416" s="63" t="s">
        <v>1739</v>
      </c>
      <c r="V416" s="63" t="s">
        <v>1772</v>
      </c>
      <c r="W416" s="63" t="s">
        <v>1813</v>
      </c>
      <c r="X416" s="62" t="s">
        <v>1932</v>
      </c>
    </row>
    <row r="417" spans="20:24">
      <c r="T417" s="63" t="s">
        <v>1967</v>
      </c>
      <c r="U417" s="63" t="s">
        <v>1758</v>
      </c>
      <c r="V417" s="63" t="s">
        <v>1793</v>
      </c>
      <c r="W417" s="63" t="s">
        <v>1855</v>
      </c>
      <c r="X417" s="62" t="s">
        <v>1932</v>
      </c>
    </row>
    <row r="418" spans="20:24">
      <c r="T418" s="63" t="s">
        <v>1944</v>
      </c>
      <c r="U418" s="63" t="s">
        <v>1758</v>
      </c>
      <c r="V418" s="63" t="s">
        <v>1790</v>
      </c>
      <c r="W418" s="63" t="s">
        <v>1847</v>
      </c>
      <c r="X418" s="62" t="s">
        <v>1932</v>
      </c>
    </row>
    <row r="419" spans="20:24">
      <c r="T419" s="63" t="s">
        <v>2116</v>
      </c>
      <c r="U419" s="63" t="s">
        <v>1758</v>
      </c>
      <c r="V419" s="63" t="s">
        <v>1796</v>
      </c>
      <c r="W419" s="63" t="s">
        <v>1870</v>
      </c>
      <c r="X419" s="62" t="s">
        <v>1932</v>
      </c>
    </row>
    <row r="420" spans="20:24">
      <c r="T420" s="63" t="s">
        <v>2046</v>
      </c>
      <c r="U420" s="63" t="s">
        <v>1758</v>
      </c>
      <c r="V420" s="63" t="s">
        <v>1790</v>
      </c>
      <c r="W420" s="63" t="s">
        <v>1847</v>
      </c>
      <c r="X420" s="62" t="s">
        <v>1932</v>
      </c>
    </row>
    <row r="421" spans="20:24">
      <c r="T421" s="63" t="s">
        <v>2046</v>
      </c>
      <c r="U421" s="63" t="s">
        <v>1758</v>
      </c>
      <c r="V421" s="63" t="s">
        <v>1790</v>
      </c>
      <c r="W421" s="63" t="s">
        <v>1847</v>
      </c>
      <c r="X421" s="62" t="s">
        <v>1932</v>
      </c>
    </row>
    <row r="422" spans="20:24">
      <c r="T422" s="63" t="s">
        <v>2046</v>
      </c>
      <c r="U422" s="63" t="s">
        <v>1758</v>
      </c>
      <c r="V422" s="63" t="s">
        <v>1790</v>
      </c>
      <c r="W422" s="63" t="s">
        <v>1847</v>
      </c>
      <c r="X422" s="62" t="s">
        <v>1932</v>
      </c>
    </row>
    <row r="423" spans="20:24">
      <c r="T423" s="63" t="s">
        <v>2046</v>
      </c>
      <c r="U423" s="63" t="s">
        <v>1758</v>
      </c>
      <c r="V423" s="63" t="s">
        <v>1790</v>
      </c>
      <c r="W423" s="63" t="s">
        <v>1847</v>
      </c>
      <c r="X423" s="62" t="s">
        <v>1932</v>
      </c>
    </row>
    <row r="424" spans="20:24">
      <c r="T424" s="63" t="s">
        <v>2046</v>
      </c>
      <c r="U424" s="63" t="s">
        <v>1758</v>
      </c>
      <c r="V424" s="63" t="s">
        <v>1790</v>
      </c>
      <c r="W424" s="63" t="s">
        <v>1847</v>
      </c>
      <c r="X424" s="62" t="s">
        <v>1932</v>
      </c>
    </row>
    <row r="425" spans="20:24">
      <c r="T425" s="63" t="s">
        <v>2096</v>
      </c>
      <c r="U425" s="63" t="s">
        <v>1758</v>
      </c>
      <c r="V425" s="63" t="s">
        <v>1790</v>
      </c>
      <c r="W425" s="63" t="s">
        <v>1847</v>
      </c>
      <c r="X425" s="63" t="s">
        <v>1893</v>
      </c>
    </row>
    <row r="426" spans="20:24">
      <c r="T426" s="63" t="s">
        <v>2096</v>
      </c>
      <c r="U426" s="63" t="s">
        <v>1758</v>
      </c>
      <c r="V426" s="63" t="s">
        <v>1790</v>
      </c>
      <c r="W426" s="63" t="s">
        <v>1847</v>
      </c>
      <c r="X426" s="63" t="s">
        <v>1893</v>
      </c>
    </row>
    <row r="427" spans="20:24">
      <c r="T427" s="63" t="s">
        <v>2046</v>
      </c>
      <c r="U427" s="63" t="s">
        <v>1758</v>
      </c>
      <c r="V427" s="63" t="s">
        <v>1790</v>
      </c>
      <c r="W427" s="63" t="s">
        <v>1847</v>
      </c>
      <c r="X427" s="62" t="s">
        <v>1932</v>
      </c>
    </row>
    <row r="428" spans="20:24">
      <c r="T428" s="63" t="s">
        <v>2046</v>
      </c>
      <c r="U428" s="63" t="s">
        <v>1758</v>
      </c>
      <c r="V428" s="63" t="s">
        <v>1790</v>
      </c>
      <c r="W428" s="63" t="s">
        <v>1847</v>
      </c>
      <c r="X428" s="62" t="s">
        <v>1932</v>
      </c>
    </row>
    <row r="429" spans="20:24">
      <c r="T429" s="63" t="s">
        <v>2046</v>
      </c>
      <c r="U429" s="63" t="s">
        <v>1758</v>
      </c>
      <c r="V429" s="63" t="s">
        <v>1790</v>
      </c>
      <c r="W429" s="63" t="s">
        <v>1847</v>
      </c>
      <c r="X429" s="62" t="s">
        <v>1932</v>
      </c>
    </row>
    <row r="430" spans="20:24">
      <c r="T430" s="63" t="s">
        <v>2046</v>
      </c>
      <c r="U430" s="63" t="s">
        <v>1758</v>
      </c>
      <c r="V430" s="63" t="s">
        <v>1790</v>
      </c>
      <c r="W430" s="63" t="s">
        <v>1847</v>
      </c>
      <c r="X430" s="62" t="s">
        <v>1932</v>
      </c>
    </row>
    <row r="431" spans="20:24">
      <c r="T431" s="63" t="s">
        <v>1944</v>
      </c>
      <c r="U431" s="63" t="s">
        <v>1758</v>
      </c>
      <c r="V431" s="63" t="s">
        <v>1790</v>
      </c>
      <c r="W431" s="63" t="s">
        <v>1847</v>
      </c>
      <c r="X431" s="62" t="s">
        <v>1932</v>
      </c>
    </row>
    <row r="432" spans="20:24">
      <c r="T432" s="63" t="s">
        <v>2117</v>
      </c>
      <c r="U432" s="63" t="s">
        <v>1758</v>
      </c>
      <c r="V432" s="63" t="s">
        <v>1796</v>
      </c>
      <c r="W432" s="63" t="s">
        <v>1870</v>
      </c>
      <c r="X432" s="62" t="s">
        <v>1932</v>
      </c>
    </row>
    <row r="433" spans="20:24">
      <c r="T433" s="63" t="s">
        <v>2046</v>
      </c>
      <c r="U433" s="63" t="s">
        <v>1758</v>
      </c>
      <c r="V433" s="63" t="s">
        <v>1790</v>
      </c>
      <c r="W433" s="63" t="s">
        <v>1847</v>
      </c>
      <c r="X433" s="62" t="s">
        <v>1932</v>
      </c>
    </row>
    <row r="434" spans="20:24">
      <c r="T434" s="63" t="s">
        <v>2046</v>
      </c>
      <c r="U434" s="63" t="s">
        <v>1758</v>
      </c>
      <c r="V434" s="63" t="s">
        <v>1790</v>
      </c>
      <c r="W434" s="63" t="s">
        <v>1847</v>
      </c>
      <c r="X434" s="62" t="s">
        <v>1932</v>
      </c>
    </row>
    <row r="435" spans="20:24">
      <c r="T435" s="63" t="s">
        <v>1944</v>
      </c>
      <c r="U435" s="63" t="s">
        <v>1758</v>
      </c>
      <c r="V435" s="63" t="s">
        <v>1790</v>
      </c>
      <c r="W435" s="63" t="s">
        <v>1847</v>
      </c>
      <c r="X435" s="62" t="s">
        <v>1932</v>
      </c>
    </row>
    <row r="436" spans="20:24">
      <c r="T436" s="63" t="s">
        <v>2046</v>
      </c>
      <c r="U436" s="63" t="s">
        <v>1758</v>
      </c>
      <c r="V436" s="63" t="s">
        <v>1790</v>
      </c>
      <c r="W436" s="63" t="s">
        <v>1847</v>
      </c>
      <c r="X436" s="62" t="s">
        <v>1932</v>
      </c>
    </row>
    <row r="437" spans="20:24">
      <c r="T437" s="63" t="s">
        <v>1938</v>
      </c>
      <c r="U437" s="63" t="s">
        <v>1758</v>
      </c>
      <c r="V437" s="63" t="s">
        <v>1790</v>
      </c>
      <c r="W437" s="63" t="s">
        <v>1847</v>
      </c>
      <c r="X437" s="62" t="s">
        <v>1932</v>
      </c>
    </row>
    <row r="438" spans="20:24">
      <c r="T438" s="63" t="s">
        <v>1976</v>
      </c>
      <c r="U438" s="63" t="s">
        <v>1739</v>
      </c>
      <c r="V438" s="63" t="s">
        <v>1768</v>
      </c>
      <c r="W438" s="63" t="s">
        <v>1788</v>
      </c>
      <c r="X438" s="62" t="s">
        <v>1932</v>
      </c>
    </row>
    <row r="439" spans="20:24">
      <c r="T439" s="63" t="s">
        <v>2046</v>
      </c>
      <c r="U439" s="63" t="s">
        <v>1758</v>
      </c>
      <c r="V439" s="63" t="s">
        <v>1790</v>
      </c>
      <c r="W439" s="63" t="s">
        <v>1847</v>
      </c>
      <c r="X439" s="62" t="s">
        <v>1932</v>
      </c>
    </row>
    <row r="440" spans="20:24">
      <c r="T440" s="63" t="s">
        <v>2046</v>
      </c>
      <c r="U440" s="63" t="s">
        <v>1758</v>
      </c>
      <c r="V440" s="63" t="s">
        <v>1790</v>
      </c>
      <c r="W440" s="63" t="s">
        <v>1847</v>
      </c>
      <c r="X440" s="62" t="s">
        <v>1932</v>
      </c>
    </row>
    <row r="441" spans="20:24">
      <c r="T441" s="63" t="s">
        <v>2084</v>
      </c>
      <c r="U441" s="63" t="s">
        <v>1739</v>
      </c>
      <c r="V441" s="63" t="s">
        <v>1772</v>
      </c>
      <c r="W441" s="63" t="s">
        <v>1813</v>
      </c>
      <c r="X441" s="62" t="s">
        <v>1932</v>
      </c>
    </row>
    <row r="442" spans="20:24">
      <c r="T442" s="63" t="s">
        <v>2047</v>
      </c>
      <c r="U442" s="63" t="s">
        <v>1758</v>
      </c>
      <c r="V442" s="63" t="s">
        <v>1790</v>
      </c>
      <c r="W442" s="63" t="s">
        <v>1847</v>
      </c>
      <c r="X442" s="62" t="s">
        <v>1932</v>
      </c>
    </row>
    <row r="443" spans="20:24">
      <c r="T443" s="63" t="s">
        <v>2046</v>
      </c>
      <c r="U443" s="63" t="s">
        <v>1758</v>
      </c>
      <c r="V443" s="63" t="s">
        <v>1790</v>
      </c>
      <c r="W443" s="63" t="s">
        <v>1847</v>
      </c>
      <c r="X443" s="62" t="s">
        <v>1932</v>
      </c>
    </row>
    <row r="444" spans="20:24">
      <c r="T444" s="63" t="s">
        <v>1980</v>
      </c>
      <c r="U444" s="63" t="s">
        <v>1758</v>
      </c>
      <c r="V444" s="63" t="s">
        <v>1793</v>
      </c>
      <c r="W444" s="63" t="s">
        <v>1855</v>
      </c>
      <c r="X444" s="62" t="s">
        <v>1932</v>
      </c>
    </row>
    <row r="445" spans="20:24">
      <c r="T445" s="63" t="s">
        <v>2046</v>
      </c>
      <c r="U445" s="63" t="s">
        <v>1758</v>
      </c>
      <c r="V445" s="63" t="s">
        <v>1790</v>
      </c>
      <c r="W445" s="63" t="s">
        <v>1847</v>
      </c>
      <c r="X445" s="62" t="s">
        <v>1932</v>
      </c>
    </row>
    <row r="446" spans="20:24">
      <c r="T446" s="63" t="s">
        <v>2046</v>
      </c>
      <c r="U446" s="63" t="s">
        <v>1758</v>
      </c>
      <c r="V446" s="63" t="s">
        <v>1790</v>
      </c>
      <c r="W446" s="63" t="s">
        <v>1847</v>
      </c>
      <c r="X446" s="62" t="s">
        <v>1932</v>
      </c>
    </row>
    <row r="447" spans="20:24">
      <c r="T447" s="63" t="s">
        <v>1950</v>
      </c>
      <c r="U447" s="63" t="s">
        <v>1758</v>
      </c>
      <c r="V447" s="63" t="s">
        <v>1790</v>
      </c>
      <c r="W447" s="63" t="s">
        <v>1847</v>
      </c>
      <c r="X447" s="62" t="s">
        <v>1932</v>
      </c>
    </row>
    <row r="448" spans="20:24">
      <c r="T448" s="63" t="s">
        <v>1980</v>
      </c>
      <c r="U448" s="63" t="s">
        <v>1758</v>
      </c>
      <c r="V448" s="63" t="s">
        <v>1793</v>
      </c>
      <c r="W448" s="63" t="s">
        <v>1855</v>
      </c>
      <c r="X448" s="62" t="s">
        <v>1932</v>
      </c>
    </row>
    <row r="449" spans="20:24">
      <c r="T449" s="63" t="s">
        <v>1938</v>
      </c>
      <c r="U449" s="63" t="s">
        <v>1758</v>
      </c>
      <c r="V449" s="63" t="s">
        <v>1790</v>
      </c>
      <c r="W449" s="63" t="s">
        <v>1847</v>
      </c>
      <c r="X449" s="62" t="s">
        <v>1932</v>
      </c>
    </row>
    <row r="450" spans="20:24">
      <c r="T450" s="63" t="s">
        <v>1938</v>
      </c>
      <c r="U450" s="63" t="s">
        <v>1758</v>
      </c>
      <c r="V450" s="63" t="s">
        <v>1790</v>
      </c>
      <c r="W450" s="63" t="s">
        <v>1847</v>
      </c>
      <c r="X450" s="62" t="s">
        <v>1932</v>
      </c>
    </row>
    <row r="451" spans="20:24">
      <c r="T451" s="63" t="s">
        <v>1938</v>
      </c>
      <c r="U451" s="63" t="s">
        <v>1758</v>
      </c>
      <c r="V451" s="63" t="s">
        <v>1790</v>
      </c>
      <c r="W451" s="63" t="s">
        <v>1847</v>
      </c>
      <c r="X451" s="62" t="s">
        <v>1932</v>
      </c>
    </row>
    <row r="452" spans="20:24">
      <c r="T452" s="63" t="s">
        <v>2118</v>
      </c>
      <c r="U452" s="63" t="s">
        <v>1739</v>
      </c>
      <c r="V452" s="63" t="s">
        <v>1768</v>
      </c>
      <c r="W452" s="63" t="s">
        <v>1785</v>
      </c>
      <c r="X452" s="62" t="s">
        <v>1932</v>
      </c>
    </row>
    <row r="453" spans="20:24">
      <c r="T453" s="63" t="s">
        <v>2119</v>
      </c>
      <c r="U453" s="63" t="s">
        <v>1758</v>
      </c>
      <c r="V453" s="63" t="s">
        <v>1790</v>
      </c>
      <c r="W453" s="63" t="s">
        <v>1847</v>
      </c>
      <c r="X453" s="63" t="s">
        <v>1891</v>
      </c>
    </row>
    <row r="454" spans="20:24">
      <c r="T454" s="63" t="s">
        <v>1953</v>
      </c>
      <c r="U454" s="63" t="s">
        <v>1739</v>
      </c>
      <c r="V454" s="63" t="s">
        <v>1772</v>
      </c>
      <c r="W454" s="63" t="s">
        <v>1813</v>
      </c>
      <c r="X454" s="62" t="s">
        <v>1932</v>
      </c>
    </row>
    <row r="455" spans="20:24">
      <c r="T455" s="63" t="s">
        <v>1953</v>
      </c>
      <c r="U455" s="63" t="s">
        <v>1739</v>
      </c>
      <c r="V455" s="63" t="s">
        <v>1772</v>
      </c>
      <c r="W455" s="63" t="s">
        <v>1813</v>
      </c>
      <c r="X455" s="62" t="s">
        <v>1932</v>
      </c>
    </row>
    <row r="456" spans="20:24">
      <c r="T456" s="63" t="s">
        <v>2007</v>
      </c>
      <c r="U456" s="63" t="s">
        <v>1758</v>
      </c>
      <c r="V456" s="63" t="s">
        <v>1790</v>
      </c>
      <c r="W456" s="63" t="s">
        <v>1847</v>
      </c>
      <c r="X456" s="62" t="s">
        <v>1932</v>
      </c>
    </row>
    <row r="457" spans="20:24">
      <c r="T457" s="63" t="s">
        <v>2120</v>
      </c>
      <c r="U457" s="63" t="s">
        <v>1739</v>
      </c>
      <c r="V457" s="63" t="s">
        <v>1784</v>
      </c>
      <c r="W457" s="63" t="s">
        <v>1838</v>
      </c>
      <c r="X457" s="62" t="s">
        <v>1932</v>
      </c>
    </row>
    <row r="458" spans="20:24">
      <c r="T458" s="63" t="s">
        <v>2046</v>
      </c>
      <c r="U458" s="63" t="s">
        <v>1758</v>
      </c>
      <c r="V458" s="63" t="s">
        <v>1790</v>
      </c>
      <c r="W458" s="63" t="s">
        <v>1847</v>
      </c>
      <c r="X458" s="62" t="s">
        <v>1932</v>
      </c>
    </row>
    <row r="459" spans="20:24">
      <c r="T459" s="63" t="s">
        <v>2121</v>
      </c>
      <c r="U459" s="63" t="s">
        <v>1758</v>
      </c>
      <c r="V459" s="63" t="s">
        <v>1790</v>
      </c>
      <c r="W459" s="63" t="s">
        <v>1847</v>
      </c>
      <c r="X459" s="62" t="s">
        <v>1932</v>
      </c>
    </row>
    <row r="460" spans="20:24">
      <c r="T460" s="63" t="s">
        <v>2046</v>
      </c>
      <c r="U460" s="63" t="s">
        <v>1758</v>
      </c>
      <c r="V460" s="63" t="s">
        <v>1790</v>
      </c>
      <c r="W460" s="63" t="s">
        <v>1847</v>
      </c>
      <c r="X460" s="62" t="s">
        <v>1932</v>
      </c>
    </row>
    <row r="461" spans="20:24">
      <c r="T461" s="63" t="s">
        <v>1938</v>
      </c>
      <c r="U461" s="63" t="s">
        <v>1758</v>
      </c>
      <c r="V461" s="63" t="s">
        <v>1790</v>
      </c>
      <c r="W461" s="63" t="s">
        <v>1847</v>
      </c>
      <c r="X461" s="62" t="s">
        <v>1932</v>
      </c>
    </row>
    <row r="462" spans="20:24">
      <c r="T462" s="63" t="s">
        <v>2046</v>
      </c>
      <c r="U462" s="63" t="s">
        <v>1758</v>
      </c>
      <c r="V462" s="63" t="s">
        <v>1790</v>
      </c>
      <c r="W462" s="63" t="s">
        <v>1847</v>
      </c>
      <c r="X462" s="62" t="s">
        <v>1932</v>
      </c>
    </row>
    <row r="463" spans="20:24">
      <c r="T463" s="63" t="s">
        <v>2052</v>
      </c>
      <c r="U463" s="63" t="s">
        <v>1758</v>
      </c>
      <c r="V463" s="63" t="s">
        <v>1790</v>
      </c>
      <c r="W463" s="63" t="s">
        <v>1847</v>
      </c>
      <c r="X463" s="63" t="s">
        <v>1893</v>
      </c>
    </row>
    <row r="464" spans="20:24">
      <c r="T464" s="63" t="s">
        <v>2046</v>
      </c>
      <c r="U464" s="63" t="s">
        <v>1758</v>
      </c>
      <c r="V464" s="63" t="s">
        <v>1790</v>
      </c>
      <c r="W464" s="63" t="s">
        <v>1847</v>
      </c>
      <c r="X464" s="62" t="s">
        <v>1932</v>
      </c>
    </row>
    <row r="465" spans="20:24">
      <c r="T465" s="63" t="s">
        <v>2046</v>
      </c>
      <c r="U465" s="63" t="s">
        <v>1758</v>
      </c>
      <c r="V465" s="63" t="s">
        <v>1790</v>
      </c>
      <c r="W465" s="63" t="s">
        <v>1847</v>
      </c>
      <c r="X465" s="62" t="s">
        <v>1932</v>
      </c>
    </row>
    <row r="466" spans="20:24">
      <c r="T466" s="63" t="s">
        <v>2010</v>
      </c>
      <c r="U466" s="63" t="s">
        <v>1758</v>
      </c>
      <c r="V466" s="63" t="s">
        <v>1796</v>
      </c>
      <c r="W466" s="63" t="s">
        <v>1870</v>
      </c>
      <c r="X466" s="62" t="s">
        <v>1932</v>
      </c>
    </row>
    <row r="467" spans="20:24">
      <c r="T467" s="63" t="s">
        <v>2049</v>
      </c>
      <c r="U467" s="63" t="s">
        <v>1758</v>
      </c>
      <c r="V467" s="63" t="s">
        <v>1790</v>
      </c>
      <c r="W467" s="63" t="s">
        <v>1847</v>
      </c>
      <c r="X467" s="62" t="s">
        <v>1932</v>
      </c>
    </row>
    <row r="468" spans="20:24">
      <c r="T468" s="63" t="s">
        <v>1977</v>
      </c>
      <c r="U468" s="63" t="s">
        <v>1758</v>
      </c>
      <c r="V468" s="63" t="s">
        <v>1790</v>
      </c>
      <c r="W468" s="63" t="s">
        <v>1847</v>
      </c>
      <c r="X468" s="62" t="s">
        <v>1932</v>
      </c>
    </row>
    <row r="469" spans="20:24">
      <c r="T469" s="63" t="s">
        <v>2046</v>
      </c>
      <c r="U469" s="63" t="s">
        <v>1758</v>
      </c>
      <c r="V469" s="63" t="s">
        <v>1790</v>
      </c>
      <c r="W469" s="63" t="s">
        <v>1847</v>
      </c>
      <c r="X469" s="62" t="s">
        <v>1932</v>
      </c>
    </row>
    <row r="470" spans="20:24">
      <c r="T470" s="63" t="s">
        <v>2122</v>
      </c>
      <c r="U470" s="63" t="s">
        <v>1739</v>
      </c>
      <c r="V470" s="63" t="s">
        <v>1772</v>
      </c>
      <c r="W470" s="63" t="s">
        <v>1820</v>
      </c>
      <c r="X470" s="62" t="s">
        <v>1932</v>
      </c>
    </row>
    <row r="471" spans="20:24">
      <c r="T471" s="63" t="s">
        <v>1939</v>
      </c>
      <c r="U471" s="63" t="s">
        <v>1739</v>
      </c>
      <c r="V471" s="63" t="s">
        <v>1768</v>
      </c>
      <c r="W471" s="63" t="s">
        <v>1788</v>
      </c>
      <c r="X471" s="62" t="s">
        <v>1932</v>
      </c>
    </row>
    <row r="472" spans="20:24">
      <c r="T472" s="63" t="s">
        <v>2046</v>
      </c>
      <c r="U472" s="63" t="s">
        <v>1758</v>
      </c>
      <c r="V472" s="63" t="s">
        <v>1790</v>
      </c>
      <c r="W472" s="63" t="s">
        <v>1847</v>
      </c>
      <c r="X472" s="62" t="s">
        <v>1932</v>
      </c>
    </row>
    <row r="473" spans="20:24">
      <c r="T473" s="63" t="s">
        <v>1938</v>
      </c>
      <c r="U473" s="63" t="s">
        <v>1758</v>
      </c>
      <c r="V473" s="63" t="s">
        <v>1790</v>
      </c>
      <c r="W473" s="63" t="s">
        <v>1847</v>
      </c>
      <c r="X473" s="62" t="s">
        <v>1932</v>
      </c>
    </row>
    <row r="474" spans="20:24">
      <c r="T474" s="63" t="s">
        <v>2052</v>
      </c>
      <c r="U474" s="63" t="s">
        <v>1758</v>
      </c>
      <c r="V474" s="63" t="s">
        <v>1790</v>
      </c>
      <c r="W474" s="63" t="s">
        <v>1847</v>
      </c>
      <c r="X474" s="62" t="s">
        <v>1932</v>
      </c>
    </row>
    <row r="475" spans="20:24">
      <c r="T475" s="63" t="s">
        <v>2052</v>
      </c>
      <c r="U475" s="63" t="s">
        <v>1758</v>
      </c>
      <c r="V475" s="63" t="s">
        <v>1790</v>
      </c>
      <c r="W475" s="63" t="s">
        <v>1847</v>
      </c>
      <c r="X475" s="62" t="s">
        <v>1932</v>
      </c>
    </row>
    <row r="476" spans="20:24">
      <c r="T476" s="63" t="s">
        <v>2046</v>
      </c>
      <c r="U476" s="63" t="s">
        <v>1758</v>
      </c>
      <c r="V476" s="63" t="s">
        <v>1790</v>
      </c>
      <c r="W476" s="63" t="s">
        <v>1847</v>
      </c>
      <c r="X476" s="62" t="s">
        <v>1932</v>
      </c>
    </row>
    <row r="477" spans="20:24">
      <c r="T477" s="63" t="s">
        <v>2046</v>
      </c>
      <c r="U477" s="63" t="s">
        <v>1758</v>
      </c>
      <c r="V477" s="63" t="s">
        <v>1790</v>
      </c>
      <c r="W477" s="63" t="s">
        <v>1847</v>
      </c>
      <c r="X477" s="62" t="s">
        <v>1932</v>
      </c>
    </row>
    <row r="478" spans="20:24">
      <c r="T478" s="63" t="s">
        <v>1938</v>
      </c>
      <c r="U478" s="63" t="s">
        <v>1758</v>
      </c>
      <c r="V478" s="63" t="s">
        <v>1790</v>
      </c>
      <c r="W478" s="63" t="s">
        <v>1847</v>
      </c>
      <c r="X478" s="62" t="s">
        <v>1932</v>
      </c>
    </row>
    <row r="479" spans="20:24">
      <c r="T479" s="63" t="s">
        <v>1950</v>
      </c>
      <c r="U479" s="63" t="s">
        <v>1758</v>
      </c>
      <c r="V479" s="63" t="s">
        <v>1790</v>
      </c>
      <c r="W479" s="63" t="s">
        <v>1847</v>
      </c>
      <c r="X479" s="62" t="s">
        <v>1932</v>
      </c>
    </row>
    <row r="480" spans="20:24">
      <c r="T480" s="63" t="s">
        <v>2052</v>
      </c>
      <c r="U480" s="63" t="s">
        <v>1758</v>
      </c>
      <c r="V480" s="63" t="s">
        <v>1790</v>
      </c>
      <c r="W480" s="63" t="s">
        <v>1847</v>
      </c>
      <c r="X480" s="62" t="s">
        <v>1932</v>
      </c>
    </row>
    <row r="481" spans="20:24">
      <c r="T481" s="63" t="s">
        <v>2046</v>
      </c>
      <c r="U481" s="63" t="s">
        <v>1758</v>
      </c>
      <c r="V481" s="63" t="s">
        <v>1790</v>
      </c>
      <c r="W481" s="63" t="s">
        <v>1847</v>
      </c>
      <c r="X481" s="62" t="s">
        <v>1932</v>
      </c>
    </row>
    <row r="482" spans="20:24">
      <c r="T482" s="63" t="s">
        <v>2051</v>
      </c>
      <c r="U482" s="63" t="s">
        <v>1739</v>
      </c>
      <c r="V482" s="63" t="s">
        <v>1768</v>
      </c>
      <c r="W482" s="63" t="s">
        <v>1788</v>
      </c>
      <c r="X482" s="62" t="s">
        <v>1932</v>
      </c>
    </row>
    <row r="483" spans="20:24">
      <c r="T483" s="63" t="s">
        <v>2046</v>
      </c>
      <c r="U483" s="63" t="s">
        <v>1758</v>
      </c>
      <c r="V483" s="63" t="s">
        <v>1790</v>
      </c>
      <c r="W483" s="63" t="s">
        <v>1847</v>
      </c>
      <c r="X483" s="62" t="s">
        <v>1932</v>
      </c>
    </row>
    <row r="484" spans="20:24">
      <c r="T484" s="63" t="s">
        <v>2046</v>
      </c>
      <c r="U484" s="63" t="s">
        <v>1758</v>
      </c>
      <c r="V484" s="63" t="s">
        <v>1790</v>
      </c>
      <c r="W484" s="63" t="s">
        <v>1847</v>
      </c>
      <c r="X484" s="62" t="s">
        <v>1932</v>
      </c>
    </row>
    <row r="485" spans="20:24">
      <c r="T485" s="63" t="s">
        <v>2083</v>
      </c>
      <c r="U485" s="63" t="s">
        <v>1739</v>
      </c>
      <c r="V485" s="63" t="s">
        <v>1787</v>
      </c>
      <c r="W485" s="63" t="s">
        <v>1841</v>
      </c>
      <c r="X485" s="62" t="s">
        <v>1932</v>
      </c>
    </row>
    <row r="486" spans="20:24">
      <c r="T486" s="63" t="s">
        <v>2046</v>
      </c>
      <c r="U486" s="63" t="s">
        <v>1758</v>
      </c>
      <c r="V486" s="63" t="s">
        <v>1790</v>
      </c>
      <c r="W486" s="63" t="s">
        <v>1847</v>
      </c>
      <c r="X486" s="62" t="s">
        <v>1932</v>
      </c>
    </row>
    <row r="487" spans="20:24">
      <c r="T487" s="63" t="s">
        <v>2052</v>
      </c>
      <c r="U487" s="63" t="s">
        <v>1758</v>
      </c>
      <c r="V487" s="63" t="s">
        <v>1790</v>
      </c>
      <c r="W487" s="63" t="s">
        <v>1847</v>
      </c>
      <c r="X487" s="62" t="s">
        <v>1932</v>
      </c>
    </row>
    <row r="488" spans="20:24">
      <c r="T488" s="63" t="s">
        <v>2011</v>
      </c>
      <c r="U488" s="63" t="s">
        <v>1758</v>
      </c>
      <c r="V488" s="63" t="s">
        <v>1796</v>
      </c>
      <c r="W488" s="63" t="s">
        <v>1870</v>
      </c>
      <c r="X488" s="62" t="s">
        <v>1932</v>
      </c>
    </row>
    <row r="489" spans="20:24">
      <c r="T489" s="63" t="s">
        <v>1938</v>
      </c>
      <c r="U489" s="63" t="s">
        <v>1758</v>
      </c>
      <c r="V489" s="63" t="s">
        <v>1790</v>
      </c>
      <c r="W489" s="63" t="s">
        <v>1847</v>
      </c>
      <c r="X489" s="62" t="s">
        <v>1932</v>
      </c>
    </row>
    <row r="490" spans="20:24">
      <c r="T490" s="63" t="s">
        <v>2046</v>
      </c>
      <c r="U490" s="63" t="s">
        <v>1758</v>
      </c>
      <c r="V490" s="63" t="s">
        <v>1790</v>
      </c>
      <c r="W490" s="63" t="s">
        <v>1847</v>
      </c>
      <c r="X490" s="62" t="s">
        <v>1932</v>
      </c>
    </row>
    <row r="491" spans="20:24">
      <c r="T491" s="63" t="s">
        <v>1938</v>
      </c>
      <c r="U491" s="63" t="s">
        <v>1758</v>
      </c>
      <c r="V491" s="63" t="s">
        <v>1790</v>
      </c>
      <c r="W491" s="63" t="s">
        <v>1847</v>
      </c>
      <c r="X491" s="62" t="s">
        <v>1932</v>
      </c>
    </row>
    <row r="492" spans="20:24">
      <c r="T492" s="63" t="s">
        <v>2046</v>
      </c>
      <c r="U492" s="63" t="s">
        <v>1758</v>
      </c>
      <c r="V492" s="63" t="s">
        <v>1790</v>
      </c>
      <c r="W492" s="63" t="s">
        <v>1847</v>
      </c>
      <c r="X492" s="62" t="s">
        <v>1932</v>
      </c>
    </row>
    <row r="493" spans="20:24">
      <c r="T493" s="63" t="s">
        <v>2046</v>
      </c>
      <c r="U493" s="63" t="s">
        <v>1758</v>
      </c>
      <c r="V493" s="63" t="s">
        <v>1790</v>
      </c>
      <c r="W493" s="63" t="s">
        <v>1847</v>
      </c>
      <c r="X493" s="62" t="s">
        <v>1932</v>
      </c>
    </row>
    <row r="494" spans="20:24">
      <c r="T494" s="63" t="s">
        <v>1938</v>
      </c>
      <c r="U494" s="63" t="s">
        <v>1758</v>
      </c>
      <c r="V494" s="63" t="s">
        <v>1790</v>
      </c>
      <c r="W494" s="63" t="s">
        <v>1847</v>
      </c>
      <c r="X494" s="62" t="s">
        <v>1932</v>
      </c>
    </row>
    <row r="495" spans="20:24">
      <c r="T495" s="63" t="s">
        <v>2046</v>
      </c>
      <c r="U495" s="63" t="s">
        <v>1758</v>
      </c>
      <c r="V495" s="63" t="s">
        <v>1793</v>
      </c>
      <c r="W495" s="63" t="s">
        <v>1855</v>
      </c>
      <c r="X495" s="62" t="s">
        <v>1932</v>
      </c>
    </row>
    <row r="496" spans="20:24">
      <c r="T496" s="63" t="s">
        <v>2046</v>
      </c>
      <c r="U496" s="63" t="s">
        <v>1758</v>
      </c>
      <c r="V496" s="63" t="s">
        <v>1790</v>
      </c>
      <c r="W496" s="63" t="s">
        <v>1847</v>
      </c>
      <c r="X496" s="62" t="s">
        <v>1932</v>
      </c>
    </row>
    <row r="497" spans="20:24">
      <c r="T497" s="63" t="s">
        <v>2012</v>
      </c>
      <c r="U497" s="63" t="s">
        <v>1739</v>
      </c>
      <c r="V497" s="63" t="s">
        <v>1772</v>
      </c>
      <c r="W497" s="63" t="s">
        <v>1813</v>
      </c>
      <c r="X497" s="62" t="s">
        <v>1932</v>
      </c>
    </row>
    <row r="498" spans="20:24">
      <c r="T498" s="63" t="s">
        <v>2046</v>
      </c>
      <c r="U498" s="63" t="s">
        <v>1758</v>
      </c>
      <c r="V498" s="63" t="s">
        <v>1790</v>
      </c>
      <c r="W498" s="63" t="s">
        <v>1847</v>
      </c>
      <c r="X498" s="62" t="s">
        <v>1932</v>
      </c>
    </row>
    <row r="499" spans="20:24">
      <c r="T499" s="63" t="s">
        <v>2046</v>
      </c>
      <c r="U499" s="63" t="s">
        <v>1758</v>
      </c>
      <c r="V499" s="63" t="s">
        <v>1790</v>
      </c>
      <c r="W499" s="63" t="s">
        <v>1847</v>
      </c>
      <c r="X499" s="62" t="s">
        <v>1932</v>
      </c>
    </row>
    <row r="500" spans="20:24">
      <c r="T500" s="63" t="s">
        <v>1976</v>
      </c>
      <c r="U500" s="63" t="s">
        <v>1739</v>
      </c>
      <c r="V500" s="63" t="s">
        <v>1768</v>
      </c>
      <c r="W500" s="63" t="s">
        <v>1788</v>
      </c>
      <c r="X500" s="62" t="s">
        <v>1932</v>
      </c>
    </row>
    <row r="501" spans="20:24">
      <c r="T501" s="63" t="s">
        <v>1950</v>
      </c>
      <c r="U501" s="63" t="s">
        <v>1758</v>
      </c>
      <c r="V501" s="63" t="s">
        <v>1790</v>
      </c>
      <c r="W501" s="63" t="s">
        <v>1847</v>
      </c>
      <c r="X501" s="62" t="s">
        <v>1932</v>
      </c>
    </row>
    <row r="502" spans="20:24">
      <c r="T502" s="63" t="s">
        <v>2046</v>
      </c>
      <c r="U502" s="63" t="s">
        <v>1758</v>
      </c>
      <c r="V502" s="63" t="s">
        <v>1790</v>
      </c>
      <c r="W502" s="63" t="s">
        <v>1847</v>
      </c>
      <c r="X502" s="62" t="s">
        <v>1932</v>
      </c>
    </row>
    <row r="503" spans="20:24">
      <c r="T503" s="63" t="s">
        <v>1943</v>
      </c>
      <c r="U503" s="63" t="s">
        <v>1758</v>
      </c>
      <c r="V503" s="63" t="s">
        <v>1790</v>
      </c>
      <c r="W503" s="63" t="s">
        <v>1847</v>
      </c>
      <c r="X503" s="62" t="s">
        <v>1932</v>
      </c>
    </row>
    <row r="504" spans="20:24">
      <c r="T504" s="63" t="s">
        <v>2052</v>
      </c>
      <c r="U504" s="63" t="s">
        <v>1758</v>
      </c>
      <c r="V504" s="63" t="s">
        <v>1790</v>
      </c>
      <c r="W504" s="63" t="s">
        <v>1847</v>
      </c>
      <c r="X504" s="62" t="s">
        <v>1932</v>
      </c>
    </row>
    <row r="505" spans="20:24">
      <c r="T505" s="63" t="s">
        <v>2013</v>
      </c>
      <c r="U505" s="63" t="s">
        <v>1758</v>
      </c>
      <c r="V505" s="63" t="s">
        <v>1793</v>
      </c>
      <c r="W505" s="63" t="s">
        <v>1850</v>
      </c>
      <c r="X505" s="62" t="s">
        <v>1932</v>
      </c>
    </row>
    <row r="506" spans="20:24">
      <c r="T506" s="63" t="s">
        <v>1944</v>
      </c>
      <c r="U506" s="63" t="s">
        <v>1758</v>
      </c>
      <c r="V506" s="63" t="s">
        <v>1790</v>
      </c>
      <c r="W506" s="63" t="s">
        <v>1847</v>
      </c>
      <c r="X506" s="62" t="s">
        <v>1932</v>
      </c>
    </row>
    <row r="507" spans="20:24">
      <c r="T507" s="63" t="s">
        <v>2046</v>
      </c>
      <c r="U507" s="63" t="s">
        <v>1758</v>
      </c>
      <c r="V507" s="63" t="s">
        <v>1790</v>
      </c>
      <c r="W507" s="63" t="s">
        <v>1847</v>
      </c>
      <c r="X507" s="62" t="s">
        <v>1932</v>
      </c>
    </row>
    <row r="508" spans="20:24">
      <c r="T508" s="63" t="s">
        <v>1957</v>
      </c>
      <c r="U508" s="63" t="s">
        <v>1758</v>
      </c>
      <c r="V508" s="63" t="s">
        <v>1790</v>
      </c>
      <c r="W508" s="63" t="s">
        <v>1847</v>
      </c>
      <c r="X508" s="62" t="s">
        <v>1932</v>
      </c>
    </row>
    <row r="509" spans="20:24">
      <c r="T509" s="63" t="s">
        <v>2046</v>
      </c>
      <c r="U509" s="63" t="s">
        <v>1758</v>
      </c>
      <c r="V509" s="63" t="s">
        <v>1790</v>
      </c>
      <c r="W509" s="63" t="s">
        <v>1847</v>
      </c>
      <c r="X509" s="62" t="s">
        <v>1932</v>
      </c>
    </row>
    <row r="510" spans="20:24">
      <c r="T510" s="63" t="s">
        <v>2046</v>
      </c>
      <c r="U510" s="63" t="s">
        <v>1758</v>
      </c>
      <c r="V510" s="63" t="s">
        <v>1790</v>
      </c>
      <c r="W510" s="63" t="s">
        <v>1847</v>
      </c>
      <c r="X510" s="62" t="s">
        <v>1932</v>
      </c>
    </row>
    <row r="511" spans="20:24">
      <c r="T511" s="63" t="s">
        <v>2123</v>
      </c>
      <c r="U511" s="63" t="s">
        <v>1739</v>
      </c>
      <c r="V511" s="63" t="s">
        <v>1772</v>
      </c>
      <c r="W511" s="63" t="s">
        <v>1813</v>
      </c>
      <c r="X511" s="62" t="s">
        <v>1932</v>
      </c>
    </row>
    <row r="512" spans="20:24">
      <c r="T512" s="63" t="s">
        <v>2046</v>
      </c>
      <c r="U512" s="63" t="s">
        <v>1758</v>
      </c>
      <c r="V512" s="63" t="s">
        <v>1790</v>
      </c>
      <c r="W512" s="63" t="s">
        <v>1847</v>
      </c>
      <c r="X512" s="62" t="s">
        <v>1932</v>
      </c>
    </row>
    <row r="513" spans="20:24">
      <c r="T513" s="63" t="s">
        <v>2001</v>
      </c>
      <c r="U513" s="63" t="s">
        <v>1739</v>
      </c>
      <c r="V513" s="63" t="s">
        <v>1784</v>
      </c>
      <c r="W513" s="63" t="s">
        <v>1838</v>
      </c>
      <c r="X513" s="62" t="s">
        <v>1932</v>
      </c>
    </row>
    <row r="514" spans="20:24">
      <c r="T514" s="63" t="s">
        <v>1944</v>
      </c>
      <c r="U514" s="63" t="s">
        <v>1758</v>
      </c>
      <c r="V514" s="63" t="s">
        <v>1790</v>
      </c>
      <c r="W514" s="63" t="s">
        <v>1847</v>
      </c>
      <c r="X514" s="62" t="s">
        <v>1932</v>
      </c>
    </row>
    <row r="515" spans="20:24">
      <c r="T515" s="63" t="s">
        <v>2014</v>
      </c>
      <c r="U515" s="63" t="s">
        <v>1739</v>
      </c>
      <c r="V515" s="63" t="s">
        <v>1772</v>
      </c>
      <c r="W515" s="63" t="s">
        <v>1820</v>
      </c>
      <c r="X515" s="62" t="s">
        <v>1932</v>
      </c>
    </row>
    <row r="516" spans="20:24">
      <c r="T516" s="63" t="s">
        <v>2124</v>
      </c>
      <c r="U516" s="63" t="s">
        <v>1739</v>
      </c>
      <c r="V516" s="63" t="s">
        <v>1772</v>
      </c>
      <c r="W516" s="63" t="s">
        <v>1816</v>
      </c>
      <c r="X516" s="62" t="s">
        <v>1932</v>
      </c>
    </row>
    <row r="517" spans="20:24">
      <c r="T517" s="63" t="s">
        <v>2046</v>
      </c>
      <c r="U517" s="63" t="s">
        <v>1758</v>
      </c>
      <c r="V517" s="63" t="s">
        <v>1790</v>
      </c>
      <c r="W517" s="63" t="s">
        <v>1847</v>
      </c>
      <c r="X517" s="62" t="s">
        <v>1932</v>
      </c>
    </row>
    <row r="518" spans="20:24">
      <c r="T518" s="63" t="s">
        <v>2046</v>
      </c>
      <c r="U518" s="63" t="s">
        <v>1758</v>
      </c>
      <c r="V518" s="63" t="s">
        <v>1790</v>
      </c>
      <c r="W518" s="63" t="s">
        <v>1847</v>
      </c>
      <c r="X518" s="62" t="s">
        <v>1932</v>
      </c>
    </row>
    <row r="519" spans="20:24">
      <c r="T519" s="63" t="s">
        <v>1944</v>
      </c>
      <c r="U519" s="63" t="s">
        <v>1758</v>
      </c>
      <c r="V519" s="63" t="s">
        <v>1790</v>
      </c>
      <c r="W519" s="63" t="s">
        <v>1847</v>
      </c>
      <c r="X519" s="62" t="s">
        <v>1932</v>
      </c>
    </row>
    <row r="520" spans="20:24">
      <c r="T520" s="63" t="s">
        <v>2125</v>
      </c>
      <c r="U520" s="63" t="s">
        <v>1739</v>
      </c>
      <c r="V520" s="63" t="s">
        <v>1778</v>
      </c>
      <c r="W520" s="63" t="s">
        <v>1832</v>
      </c>
      <c r="X520" s="62" t="s">
        <v>1932</v>
      </c>
    </row>
    <row r="521" spans="20:24">
      <c r="T521" s="63" t="s">
        <v>1944</v>
      </c>
      <c r="U521" s="63" t="s">
        <v>1758</v>
      </c>
      <c r="V521" s="63" t="s">
        <v>1790</v>
      </c>
      <c r="W521" s="63" t="s">
        <v>1847</v>
      </c>
      <c r="X521" s="62" t="s">
        <v>1932</v>
      </c>
    </row>
    <row r="522" spans="20:24">
      <c r="T522" s="63" t="s">
        <v>2046</v>
      </c>
      <c r="U522" s="63" t="s">
        <v>1758</v>
      </c>
      <c r="V522" s="63" t="s">
        <v>1790</v>
      </c>
      <c r="W522" s="63" t="s">
        <v>1847</v>
      </c>
      <c r="X522" s="62" t="s">
        <v>1932</v>
      </c>
    </row>
    <row r="523" spans="20:24">
      <c r="T523" s="63" t="s">
        <v>1967</v>
      </c>
      <c r="U523" s="63" t="s">
        <v>1758</v>
      </c>
      <c r="V523" s="63" t="s">
        <v>1790</v>
      </c>
      <c r="W523" s="63" t="s">
        <v>1847</v>
      </c>
      <c r="X523" s="62" t="s">
        <v>1932</v>
      </c>
    </row>
    <row r="524" spans="20:24">
      <c r="T524" s="63" t="s">
        <v>2118</v>
      </c>
      <c r="U524" s="63" t="s">
        <v>1739</v>
      </c>
      <c r="V524" s="63" t="s">
        <v>1768</v>
      </c>
      <c r="W524" s="63" t="s">
        <v>1785</v>
      </c>
      <c r="X524" s="62" t="s">
        <v>1932</v>
      </c>
    </row>
    <row r="525" spans="20:24">
      <c r="T525" s="63" t="s">
        <v>2126</v>
      </c>
      <c r="U525" s="63" t="s">
        <v>1739</v>
      </c>
      <c r="V525" s="63" t="s">
        <v>1778</v>
      </c>
      <c r="W525" s="63" t="s">
        <v>1832</v>
      </c>
      <c r="X525" s="62" t="s">
        <v>1932</v>
      </c>
    </row>
    <row r="526" spans="20:24">
      <c r="T526" s="63" t="s">
        <v>1944</v>
      </c>
      <c r="U526" s="63" t="s">
        <v>1758</v>
      </c>
      <c r="V526" s="63" t="s">
        <v>1790</v>
      </c>
      <c r="W526" s="63" t="s">
        <v>1847</v>
      </c>
      <c r="X526" s="62" t="s">
        <v>1932</v>
      </c>
    </row>
    <row r="527" spans="20:24">
      <c r="T527" s="63" t="s">
        <v>2046</v>
      </c>
      <c r="U527" s="63" t="s">
        <v>1758</v>
      </c>
      <c r="V527" s="63" t="s">
        <v>1790</v>
      </c>
      <c r="W527" s="63" t="s">
        <v>1847</v>
      </c>
      <c r="X527" s="62" t="s">
        <v>1932</v>
      </c>
    </row>
    <row r="528" spans="20:24">
      <c r="T528" s="63" t="s">
        <v>2046</v>
      </c>
      <c r="U528" s="63" t="s">
        <v>1758</v>
      </c>
      <c r="V528" s="63" t="s">
        <v>1790</v>
      </c>
      <c r="W528" s="63" t="s">
        <v>1847</v>
      </c>
      <c r="X528" s="62" t="s">
        <v>1932</v>
      </c>
    </row>
    <row r="529" spans="20:24">
      <c r="T529" s="63" t="s">
        <v>2046</v>
      </c>
      <c r="U529" s="63" t="s">
        <v>1758</v>
      </c>
      <c r="V529" s="63" t="s">
        <v>1790</v>
      </c>
      <c r="W529" s="63" t="s">
        <v>1847</v>
      </c>
      <c r="X529" s="62" t="s">
        <v>1932</v>
      </c>
    </row>
    <row r="530" spans="20:24">
      <c r="T530" s="63" t="s">
        <v>2046</v>
      </c>
      <c r="U530" s="63" t="s">
        <v>1758</v>
      </c>
      <c r="V530" s="63" t="s">
        <v>1790</v>
      </c>
      <c r="W530" s="63" t="s">
        <v>1847</v>
      </c>
      <c r="X530" s="62" t="s">
        <v>1932</v>
      </c>
    </row>
    <row r="531" spans="20:24">
      <c r="T531" s="63" t="s">
        <v>1967</v>
      </c>
      <c r="U531" s="63" t="s">
        <v>1758</v>
      </c>
      <c r="V531" s="63" t="s">
        <v>1790</v>
      </c>
      <c r="W531" s="63" t="s">
        <v>1847</v>
      </c>
      <c r="X531" s="62" t="s">
        <v>1932</v>
      </c>
    </row>
    <row r="532" spans="20:24">
      <c r="T532" s="63" t="s">
        <v>1950</v>
      </c>
      <c r="U532" s="63" t="s">
        <v>1758</v>
      </c>
      <c r="V532" s="63" t="s">
        <v>1790</v>
      </c>
      <c r="W532" s="63" t="s">
        <v>1847</v>
      </c>
      <c r="X532" s="62" t="s">
        <v>1932</v>
      </c>
    </row>
    <row r="533" spans="20:24">
      <c r="T533" s="63" t="s">
        <v>2046</v>
      </c>
      <c r="U533" s="63" t="s">
        <v>1758</v>
      </c>
      <c r="V533" s="63" t="s">
        <v>1790</v>
      </c>
      <c r="W533" s="63" t="s">
        <v>1847</v>
      </c>
      <c r="X533" s="62" t="s">
        <v>1932</v>
      </c>
    </row>
    <row r="534" spans="20:24">
      <c r="T534" s="63" t="s">
        <v>2047</v>
      </c>
      <c r="U534" s="63" t="s">
        <v>1758</v>
      </c>
      <c r="V534" s="63" t="s">
        <v>1790</v>
      </c>
      <c r="W534" s="63" t="s">
        <v>1847</v>
      </c>
      <c r="X534" s="62" t="s">
        <v>1932</v>
      </c>
    </row>
    <row r="535" spans="20:24">
      <c r="T535" s="63" t="s">
        <v>1966</v>
      </c>
      <c r="U535" s="63" t="s">
        <v>1739</v>
      </c>
      <c r="V535" s="63" t="s">
        <v>1768</v>
      </c>
      <c r="W535" s="63" t="s">
        <v>1788</v>
      </c>
      <c r="X535" s="62" t="s">
        <v>1932</v>
      </c>
    </row>
    <row r="536" spans="20:24">
      <c r="T536" s="63" t="s">
        <v>2003</v>
      </c>
      <c r="U536" s="63" t="s">
        <v>1739</v>
      </c>
      <c r="V536" s="63" t="s">
        <v>1776</v>
      </c>
      <c r="W536" s="63" t="s">
        <v>1830</v>
      </c>
      <c r="X536" s="62" t="s">
        <v>1932</v>
      </c>
    </row>
    <row r="537" spans="20:24">
      <c r="T537" s="63" t="s">
        <v>1978</v>
      </c>
      <c r="U537" s="63" t="s">
        <v>1739</v>
      </c>
      <c r="V537" s="63" t="s">
        <v>1741</v>
      </c>
      <c r="W537" s="63" t="s">
        <v>1743</v>
      </c>
      <c r="X537" s="62" t="s">
        <v>1932</v>
      </c>
    </row>
    <row r="538" spans="20:24">
      <c r="T538" s="63" t="s">
        <v>2015</v>
      </c>
      <c r="U538" s="63" t="s">
        <v>1739</v>
      </c>
      <c r="V538" s="63" t="s">
        <v>1770</v>
      </c>
      <c r="W538" s="63" t="s">
        <v>1804</v>
      </c>
      <c r="X538" s="62" t="s">
        <v>1932</v>
      </c>
    </row>
    <row r="539" spans="20:24">
      <c r="T539" s="63" t="s">
        <v>1944</v>
      </c>
      <c r="U539" s="63" t="s">
        <v>1758</v>
      </c>
      <c r="V539" s="63" t="s">
        <v>1790</v>
      </c>
      <c r="W539" s="63" t="s">
        <v>1847</v>
      </c>
      <c r="X539" s="62" t="s">
        <v>1932</v>
      </c>
    </row>
    <row r="540" spans="20:24">
      <c r="T540" s="63" t="s">
        <v>2046</v>
      </c>
      <c r="U540" s="63" t="s">
        <v>1758</v>
      </c>
      <c r="V540" s="63" t="s">
        <v>1790</v>
      </c>
      <c r="W540" s="63" t="s">
        <v>1847</v>
      </c>
      <c r="X540" s="62" t="s">
        <v>1932</v>
      </c>
    </row>
    <row r="541" spans="20:24">
      <c r="T541" s="63" t="s">
        <v>2046</v>
      </c>
      <c r="U541" s="63" t="s">
        <v>1758</v>
      </c>
      <c r="V541" s="63" t="s">
        <v>1790</v>
      </c>
      <c r="W541" s="63" t="s">
        <v>1847</v>
      </c>
      <c r="X541" s="62" t="s">
        <v>1932</v>
      </c>
    </row>
    <row r="542" spans="20:24">
      <c r="T542" s="63" t="s">
        <v>1944</v>
      </c>
      <c r="U542" s="63" t="s">
        <v>1758</v>
      </c>
      <c r="V542" s="63" t="s">
        <v>1790</v>
      </c>
      <c r="W542" s="63" t="s">
        <v>1847</v>
      </c>
      <c r="X542" s="62" t="s">
        <v>1932</v>
      </c>
    </row>
    <row r="543" spans="20:24">
      <c r="T543" s="63" t="s">
        <v>2127</v>
      </c>
      <c r="U543" s="63" t="s">
        <v>1758</v>
      </c>
      <c r="V543" s="63" t="s">
        <v>1796</v>
      </c>
      <c r="W543" s="63" t="s">
        <v>1870</v>
      </c>
      <c r="X543" s="62" t="s">
        <v>1932</v>
      </c>
    </row>
    <row r="544" spans="20:24">
      <c r="T544" s="63" t="s">
        <v>2046</v>
      </c>
      <c r="U544" s="63" t="s">
        <v>1758</v>
      </c>
      <c r="V544" s="63" t="s">
        <v>1790</v>
      </c>
      <c r="W544" s="63" t="s">
        <v>1847</v>
      </c>
      <c r="X544" s="62" t="s">
        <v>1932</v>
      </c>
    </row>
    <row r="545" spans="20:24">
      <c r="T545" s="63" t="s">
        <v>1950</v>
      </c>
      <c r="U545" s="63" t="s">
        <v>1758</v>
      </c>
      <c r="V545" s="63" t="s">
        <v>1790</v>
      </c>
      <c r="W545" s="63" t="s">
        <v>1847</v>
      </c>
      <c r="X545" s="62" t="s">
        <v>1932</v>
      </c>
    </row>
    <row r="546" spans="20:24">
      <c r="T546" s="63" t="s">
        <v>2128</v>
      </c>
      <c r="U546" s="63" t="s">
        <v>1739</v>
      </c>
      <c r="V546" s="63" t="s">
        <v>1770</v>
      </c>
      <c r="W546" s="63" t="s">
        <v>1797</v>
      </c>
      <c r="X546" s="62" t="s">
        <v>1932</v>
      </c>
    </row>
    <row r="547" spans="20:24">
      <c r="T547" s="63" t="s">
        <v>2016</v>
      </c>
      <c r="U547" s="63" t="s">
        <v>1758</v>
      </c>
      <c r="V547" s="63" t="s">
        <v>1790</v>
      </c>
      <c r="W547" s="63" t="s">
        <v>1847</v>
      </c>
      <c r="X547" s="62" t="s">
        <v>1932</v>
      </c>
    </row>
    <row r="548" spans="20:24">
      <c r="T548" s="63" t="s">
        <v>2051</v>
      </c>
      <c r="U548" s="63" t="s">
        <v>1739</v>
      </c>
      <c r="V548" s="63" t="s">
        <v>1768</v>
      </c>
      <c r="W548" s="63" t="s">
        <v>1788</v>
      </c>
      <c r="X548" s="62" t="s">
        <v>1932</v>
      </c>
    </row>
    <row r="549" spans="20:24">
      <c r="T549" s="63" t="s">
        <v>2129</v>
      </c>
      <c r="U549" s="63" t="s">
        <v>1739</v>
      </c>
      <c r="V549" s="63" t="s">
        <v>1784</v>
      </c>
      <c r="W549" s="63" t="s">
        <v>1838</v>
      </c>
      <c r="X549" s="62" t="s">
        <v>1932</v>
      </c>
    </row>
    <row r="550" spans="20:24">
      <c r="T550" s="63" t="s">
        <v>2046</v>
      </c>
      <c r="U550" s="63" t="s">
        <v>1758</v>
      </c>
      <c r="V550" s="63" t="s">
        <v>1790</v>
      </c>
      <c r="W550" s="63" t="s">
        <v>1847</v>
      </c>
      <c r="X550" s="62" t="s">
        <v>1932</v>
      </c>
    </row>
    <row r="551" spans="20:24">
      <c r="T551" s="63" t="s">
        <v>1938</v>
      </c>
      <c r="U551" s="63" t="s">
        <v>1758</v>
      </c>
      <c r="V551" s="63" t="s">
        <v>1790</v>
      </c>
      <c r="W551" s="63" t="s">
        <v>1847</v>
      </c>
      <c r="X551" s="62" t="s">
        <v>1932</v>
      </c>
    </row>
    <row r="552" spans="20:24">
      <c r="T552" s="63" t="s">
        <v>2046</v>
      </c>
      <c r="U552" s="63" t="s">
        <v>1758</v>
      </c>
      <c r="V552" s="63" t="s">
        <v>1790</v>
      </c>
      <c r="W552" s="63" t="s">
        <v>1847</v>
      </c>
      <c r="X552" s="62" t="s">
        <v>1932</v>
      </c>
    </row>
    <row r="553" spans="20:24">
      <c r="T553" s="63" t="s">
        <v>2046</v>
      </c>
      <c r="U553" s="63" t="s">
        <v>1758</v>
      </c>
      <c r="V553" s="63" t="s">
        <v>1790</v>
      </c>
      <c r="W553" s="63" t="s">
        <v>1847</v>
      </c>
      <c r="X553" s="62" t="s">
        <v>1932</v>
      </c>
    </row>
    <row r="554" spans="20:24">
      <c r="T554" s="63" t="s">
        <v>2046</v>
      </c>
      <c r="U554" s="63" t="s">
        <v>1758</v>
      </c>
      <c r="V554" s="63" t="s">
        <v>1790</v>
      </c>
      <c r="W554" s="63" t="s">
        <v>1847</v>
      </c>
      <c r="X554" s="62" t="s">
        <v>1932</v>
      </c>
    </row>
    <row r="555" spans="20:24">
      <c r="T555" s="63" t="s">
        <v>2130</v>
      </c>
      <c r="U555" s="63" t="s">
        <v>1758</v>
      </c>
      <c r="V555" s="63" t="s">
        <v>1793</v>
      </c>
      <c r="W555" s="63" t="s">
        <v>1855</v>
      </c>
      <c r="X555" s="62" t="s">
        <v>1932</v>
      </c>
    </row>
    <row r="556" spans="20:24">
      <c r="T556" s="63" t="s">
        <v>2046</v>
      </c>
      <c r="U556" s="63" t="s">
        <v>1758</v>
      </c>
      <c r="V556" s="63" t="s">
        <v>1790</v>
      </c>
      <c r="W556" s="63" t="s">
        <v>1847</v>
      </c>
      <c r="X556" s="62" t="s">
        <v>1932</v>
      </c>
    </row>
    <row r="557" spans="20:24">
      <c r="T557" s="63" t="s">
        <v>1944</v>
      </c>
      <c r="U557" s="63" t="s">
        <v>1758</v>
      </c>
      <c r="V557" s="63" t="s">
        <v>1790</v>
      </c>
      <c r="W557" s="63" t="s">
        <v>1847</v>
      </c>
      <c r="X557" s="62" t="s">
        <v>1932</v>
      </c>
    </row>
    <row r="558" spans="20:24">
      <c r="T558" s="63" t="s">
        <v>1938</v>
      </c>
      <c r="U558" s="63" t="s">
        <v>1758</v>
      </c>
      <c r="V558" s="63" t="s">
        <v>1790</v>
      </c>
      <c r="W558" s="63" t="s">
        <v>1847</v>
      </c>
      <c r="X558" s="62" t="s">
        <v>1932</v>
      </c>
    </row>
    <row r="559" spans="20:24">
      <c r="T559" s="63" t="s">
        <v>2046</v>
      </c>
      <c r="U559" s="63" t="s">
        <v>1758</v>
      </c>
      <c r="V559" s="63" t="s">
        <v>1790</v>
      </c>
      <c r="W559" s="63" t="s">
        <v>1847</v>
      </c>
      <c r="X559" s="62" t="s">
        <v>1932</v>
      </c>
    </row>
    <row r="560" spans="20:24">
      <c r="T560" s="63" t="s">
        <v>2046</v>
      </c>
      <c r="U560" s="63" t="s">
        <v>1758</v>
      </c>
      <c r="V560" s="63" t="s">
        <v>1790</v>
      </c>
      <c r="W560" s="63" t="s">
        <v>1847</v>
      </c>
      <c r="X560" s="62" t="s">
        <v>1932</v>
      </c>
    </row>
    <row r="561" spans="20:24">
      <c r="T561" s="63" t="s">
        <v>2063</v>
      </c>
      <c r="U561" s="63" t="s">
        <v>1758</v>
      </c>
      <c r="V561" s="63" t="s">
        <v>1790</v>
      </c>
      <c r="W561" s="63" t="s">
        <v>1847</v>
      </c>
      <c r="X561" s="63" t="s">
        <v>1893</v>
      </c>
    </row>
    <row r="562" spans="20:24">
      <c r="T562" s="63" t="s">
        <v>1950</v>
      </c>
      <c r="U562" s="63" t="s">
        <v>1758</v>
      </c>
      <c r="V562" s="63" t="s">
        <v>1790</v>
      </c>
      <c r="W562" s="63" t="s">
        <v>1847</v>
      </c>
      <c r="X562" s="62" t="s">
        <v>1932</v>
      </c>
    </row>
    <row r="563" spans="20:24">
      <c r="T563" s="63" t="s">
        <v>1966</v>
      </c>
      <c r="U563" s="63" t="s">
        <v>1739</v>
      </c>
      <c r="V563" s="63" t="s">
        <v>1768</v>
      </c>
      <c r="W563" s="63" t="s">
        <v>1788</v>
      </c>
      <c r="X563" s="62" t="s">
        <v>1932</v>
      </c>
    </row>
    <row r="564" spans="20:24">
      <c r="T564" s="63" t="s">
        <v>2052</v>
      </c>
      <c r="U564" s="63" t="s">
        <v>1758</v>
      </c>
      <c r="V564" s="63" t="s">
        <v>1790</v>
      </c>
      <c r="W564" s="63" t="s">
        <v>1847</v>
      </c>
      <c r="X564" s="62" t="s">
        <v>1932</v>
      </c>
    </row>
    <row r="565" spans="20:24">
      <c r="T565" s="63" t="s">
        <v>1938</v>
      </c>
      <c r="U565" s="63" t="s">
        <v>1758</v>
      </c>
      <c r="V565" s="63" t="s">
        <v>1790</v>
      </c>
      <c r="W565" s="63" t="s">
        <v>1847</v>
      </c>
      <c r="X565" s="62" t="s">
        <v>1932</v>
      </c>
    </row>
    <row r="566" spans="20:24">
      <c r="T566" s="63" t="s">
        <v>1938</v>
      </c>
      <c r="U566" s="63" t="s">
        <v>1758</v>
      </c>
      <c r="V566" s="63" t="s">
        <v>1790</v>
      </c>
      <c r="W566" s="63" t="s">
        <v>1847</v>
      </c>
      <c r="X566" s="62" t="s">
        <v>1932</v>
      </c>
    </row>
    <row r="567" spans="20:24">
      <c r="T567" s="63" t="s">
        <v>2017</v>
      </c>
      <c r="U567" s="63" t="s">
        <v>1758</v>
      </c>
      <c r="V567" s="63" t="s">
        <v>1790</v>
      </c>
      <c r="W567" s="63" t="s">
        <v>1847</v>
      </c>
      <c r="X567" s="62" t="s">
        <v>1932</v>
      </c>
    </row>
    <row r="568" spans="20:24">
      <c r="T568" s="63" t="s">
        <v>1976</v>
      </c>
      <c r="U568" s="63" t="s">
        <v>1739</v>
      </c>
      <c r="V568" s="63" t="s">
        <v>1768</v>
      </c>
      <c r="W568" s="63" t="s">
        <v>1788</v>
      </c>
      <c r="X568" s="62" t="s">
        <v>1932</v>
      </c>
    </row>
    <row r="569" spans="20:24">
      <c r="T569" s="63" t="s">
        <v>2046</v>
      </c>
      <c r="U569" s="63" t="s">
        <v>1758</v>
      </c>
      <c r="V569" s="63" t="s">
        <v>1790</v>
      </c>
      <c r="W569" s="63" t="s">
        <v>1847</v>
      </c>
      <c r="X569" s="62" t="s">
        <v>1932</v>
      </c>
    </row>
    <row r="570" spans="20:24">
      <c r="T570" s="63" t="s">
        <v>1944</v>
      </c>
      <c r="U570" s="63" t="s">
        <v>1758</v>
      </c>
      <c r="V570" s="63" t="s">
        <v>1790</v>
      </c>
      <c r="W570" s="63" t="s">
        <v>1847</v>
      </c>
      <c r="X570" s="62" t="s">
        <v>1932</v>
      </c>
    </row>
    <row r="571" spans="20:24">
      <c r="T571" s="63" t="s">
        <v>1938</v>
      </c>
      <c r="U571" s="63" t="s">
        <v>1758</v>
      </c>
      <c r="V571" s="63" t="s">
        <v>1790</v>
      </c>
      <c r="W571" s="63" t="s">
        <v>1847</v>
      </c>
      <c r="X571" s="62" t="s">
        <v>1932</v>
      </c>
    </row>
    <row r="572" spans="20:24">
      <c r="T572" s="63" t="s">
        <v>2046</v>
      </c>
      <c r="U572" s="63" t="s">
        <v>1758</v>
      </c>
      <c r="V572" s="63" t="s">
        <v>1790</v>
      </c>
      <c r="W572" s="63" t="s">
        <v>1847</v>
      </c>
      <c r="X572" s="62" t="s">
        <v>1932</v>
      </c>
    </row>
    <row r="573" spans="20:24">
      <c r="T573" s="63" t="s">
        <v>2046</v>
      </c>
      <c r="U573" s="63" t="s">
        <v>1758</v>
      </c>
      <c r="V573" s="63" t="s">
        <v>1790</v>
      </c>
      <c r="W573" s="63" t="s">
        <v>1847</v>
      </c>
      <c r="X573" s="62" t="s">
        <v>1932</v>
      </c>
    </row>
    <row r="574" spans="20:24">
      <c r="T574" s="63" t="s">
        <v>2046</v>
      </c>
      <c r="U574" s="63" t="s">
        <v>1758</v>
      </c>
      <c r="V574" s="63" t="s">
        <v>1790</v>
      </c>
      <c r="W574" s="63" t="s">
        <v>1847</v>
      </c>
      <c r="X574" s="62" t="s">
        <v>1932</v>
      </c>
    </row>
    <row r="575" spans="20:24">
      <c r="T575" s="63" t="s">
        <v>2046</v>
      </c>
      <c r="U575" s="63" t="s">
        <v>1758</v>
      </c>
      <c r="V575" s="63" t="s">
        <v>1790</v>
      </c>
      <c r="W575" s="63" t="s">
        <v>1847</v>
      </c>
      <c r="X575" s="62" t="s">
        <v>1932</v>
      </c>
    </row>
    <row r="576" spans="20:24">
      <c r="T576" s="63" t="s">
        <v>2046</v>
      </c>
      <c r="U576" s="63" t="s">
        <v>1758</v>
      </c>
      <c r="V576" s="63" t="s">
        <v>1790</v>
      </c>
      <c r="W576" s="63" t="s">
        <v>1847</v>
      </c>
      <c r="X576" s="62" t="s">
        <v>1932</v>
      </c>
    </row>
    <row r="577" spans="20:24">
      <c r="T577" s="63" t="s">
        <v>2002</v>
      </c>
      <c r="U577" s="63" t="s">
        <v>1758</v>
      </c>
      <c r="V577" s="63" t="s">
        <v>1793</v>
      </c>
      <c r="W577" s="63" t="s">
        <v>1855</v>
      </c>
      <c r="X577" s="62" t="s">
        <v>1932</v>
      </c>
    </row>
    <row r="578" spans="20:24">
      <c r="T578" s="63" t="s">
        <v>2046</v>
      </c>
      <c r="U578" s="63" t="s">
        <v>1758</v>
      </c>
      <c r="V578" s="63" t="s">
        <v>1790</v>
      </c>
      <c r="W578" s="63" t="s">
        <v>1847</v>
      </c>
      <c r="X578" s="62" t="s">
        <v>1932</v>
      </c>
    </row>
    <row r="579" spans="20:24">
      <c r="T579" s="63" t="s">
        <v>2115</v>
      </c>
      <c r="U579" s="63" t="s">
        <v>1739</v>
      </c>
      <c r="V579" s="63" t="s">
        <v>1784</v>
      </c>
      <c r="W579" s="63" t="s">
        <v>1838</v>
      </c>
      <c r="X579" s="62" t="s">
        <v>1932</v>
      </c>
    </row>
    <row r="580" spans="20:24">
      <c r="T580" s="63" t="s">
        <v>2009</v>
      </c>
      <c r="U580" s="63" t="s">
        <v>1739</v>
      </c>
      <c r="V580" s="63" t="s">
        <v>1784</v>
      </c>
      <c r="W580" s="63" t="s">
        <v>1838</v>
      </c>
      <c r="X580" s="62" t="s">
        <v>1932</v>
      </c>
    </row>
    <row r="581" spans="20:24">
      <c r="T581" s="63" t="s">
        <v>1953</v>
      </c>
      <c r="U581" s="63" t="s">
        <v>1739</v>
      </c>
      <c r="V581" s="63" t="s">
        <v>1772</v>
      </c>
      <c r="W581" s="63" t="s">
        <v>1813</v>
      </c>
      <c r="X581" s="62" t="s">
        <v>1932</v>
      </c>
    </row>
    <row r="582" spans="20:24">
      <c r="T582" s="63" t="s">
        <v>1953</v>
      </c>
      <c r="U582" s="63" t="s">
        <v>1739</v>
      </c>
      <c r="V582" s="63" t="s">
        <v>1772</v>
      </c>
      <c r="W582" s="63" t="s">
        <v>1813</v>
      </c>
      <c r="X582" s="62" t="s">
        <v>1932</v>
      </c>
    </row>
    <row r="583" spans="20:24">
      <c r="T583" s="63" t="s">
        <v>2046</v>
      </c>
      <c r="U583" s="63" t="s">
        <v>1758</v>
      </c>
      <c r="V583" s="63" t="s">
        <v>1790</v>
      </c>
      <c r="W583" s="63" t="s">
        <v>1847</v>
      </c>
      <c r="X583" s="62" t="s">
        <v>1932</v>
      </c>
    </row>
    <row r="584" spans="20:24">
      <c r="T584" s="63" t="s">
        <v>2046</v>
      </c>
      <c r="U584" s="63" t="s">
        <v>1758</v>
      </c>
      <c r="V584" s="63" t="s">
        <v>1790</v>
      </c>
      <c r="W584" s="63" t="s">
        <v>1847</v>
      </c>
      <c r="X584" s="62" t="s">
        <v>1932</v>
      </c>
    </row>
    <row r="585" spans="20:24">
      <c r="T585" s="63" t="s">
        <v>1971</v>
      </c>
      <c r="U585" s="63" t="s">
        <v>1758</v>
      </c>
      <c r="V585" s="63" t="s">
        <v>1793</v>
      </c>
      <c r="W585" s="63" t="s">
        <v>1855</v>
      </c>
      <c r="X585" s="62" t="s">
        <v>1932</v>
      </c>
    </row>
    <row r="586" spans="20:24">
      <c r="T586" s="63" t="s">
        <v>1950</v>
      </c>
      <c r="U586" s="63" t="s">
        <v>1758</v>
      </c>
      <c r="V586" s="63" t="s">
        <v>1790</v>
      </c>
      <c r="W586" s="63" t="s">
        <v>1847</v>
      </c>
      <c r="X586" s="62" t="s">
        <v>1932</v>
      </c>
    </row>
    <row r="587" spans="20:24">
      <c r="T587" s="63" t="s">
        <v>1957</v>
      </c>
      <c r="U587" s="63" t="s">
        <v>1758</v>
      </c>
      <c r="V587" s="63" t="s">
        <v>1790</v>
      </c>
      <c r="W587" s="63" t="s">
        <v>1847</v>
      </c>
      <c r="X587" s="63" t="s">
        <v>1891</v>
      </c>
    </row>
    <row r="588" spans="20:24">
      <c r="T588" s="63" t="s">
        <v>2001</v>
      </c>
      <c r="U588" s="63" t="s">
        <v>1739</v>
      </c>
      <c r="V588" s="63" t="s">
        <v>1784</v>
      </c>
      <c r="W588" s="63" t="s">
        <v>1838</v>
      </c>
      <c r="X588" s="62" t="s">
        <v>1932</v>
      </c>
    </row>
    <row r="589" spans="20:24">
      <c r="T589" s="63" t="s">
        <v>2131</v>
      </c>
      <c r="U589" s="63" t="s">
        <v>1739</v>
      </c>
      <c r="V589" s="63" t="s">
        <v>1772</v>
      </c>
      <c r="W589" s="63" t="s">
        <v>1813</v>
      </c>
      <c r="X589" s="62" t="s">
        <v>1932</v>
      </c>
    </row>
    <row r="590" spans="20:24">
      <c r="T590" s="63" t="s">
        <v>2046</v>
      </c>
      <c r="U590" s="63" t="s">
        <v>1758</v>
      </c>
      <c r="V590" s="63" t="s">
        <v>1790</v>
      </c>
      <c r="W590" s="63" t="s">
        <v>1847</v>
      </c>
      <c r="X590" s="62" t="s">
        <v>1932</v>
      </c>
    </row>
    <row r="591" spans="20:24">
      <c r="T591" s="63" t="s">
        <v>1944</v>
      </c>
      <c r="U591" s="63" t="s">
        <v>1758</v>
      </c>
      <c r="V591" s="63" t="s">
        <v>1790</v>
      </c>
      <c r="W591" s="63" t="s">
        <v>1847</v>
      </c>
      <c r="X591" s="62" t="s">
        <v>1932</v>
      </c>
    </row>
    <row r="592" spans="20:24">
      <c r="T592" s="63" t="s">
        <v>1944</v>
      </c>
      <c r="U592" s="63" t="s">
        <v>1758</v>
      </c>
      <c r="V592" s="63" t="s">
        <v>1790</v>
      </c>
      <c r="W592" s="63" t="s">
        <v>1847</v>
      </c>
      <c r="X592" s="62" t="s">
        <v>1932</v>
      </c>
    </row>
    <row r="593" spans="20:24">
      <c r="T593" s="63" t="s">
        <v>1944</v>
      </c>
      <c r="U593" s="63" t="s">
        <v>1758</v>
      </c>
      <c r="V593" s="63" t="s">
        <v>1790</v>
      </c>
      <c r="W593" s="63" t="s">
        <v>1847</v>
      </c>
      <c r="X593" s="62" t="s">
        <v>1932</v>
      </c>
    </row>
    <row r="594" spans="20:24">
      <c r="T594" s="63" t="s">
        <v>1999</v>
      </c>
      <c r="U594" s="63" t="s">
        <v>1739</v>
      </c>
      <c r="V594" s="63" t="s">
        <v>1768</v>
      </c>
      <c r="W594" s="63" t="s">
        <v>1788</v>
      </c>
      <c r="X594" s="62" t="s">
        <v>1932</v>
      </c>
    </row>
    <row r="595" spans="20:24">
      <c r="T595" s="63" t="s">
        <v>1938</v>
      </c>
      <c r="U595" s="63" t="s">
        <v>1758</v>
      </c>
      <c r="V595" s="63" t="s">
        <v>1790</v>
      </c>
      <c r="W595" s="63" t="s">
        <v>1847</v>
      </c>
      <c r="X595" s="62" t="s">
        <v>1932</v>
      </c>
    </row>
    <row r="596" spans="20:24">
      <c r="T596" s="63" t="s">
        <v>1938</v>
      </c>
      <c r="U596" s="63" t="s">
        <v>1758</v>
      </c>
      <c r="V596" s="63" t="s">
        <v>1790</v>
      </c>
      <c r="W596" s="63" t="s">
        <v>1847</v>
      </c>
      <c r="X596" s="62" t="s">
        <v>1932</v>
      </c>
    </row>
    <row r="597" spans="20:24">
      <c r="T597" s="63" t="s">
        <v>2101</v>
      </c>
      <c r="U597" s="63" t="s">
        <v>1739</v>
      </c>
      <c r="V597" s="63" t="s">
        <v>1772</v>
      </c>
      <c r="W597" s="63" t="s">
        <v>1813</v>
      </c>
      <c r="X597" s="62" t="s">
        <v>1932</v>
      </c>
    </row>
    <row r="598" spans="20:24">
      <c r="T598" s="63" t="s">
        <v>1938</v>
      </c>
      <c r="U598" s="63" t="s">
        <v>1758</v>
      </c>
      <c r="V598" s="63" t="s">
        <v>1790</v>
      </c>
      <c r="W598" s="63" t="s">
        <v>1847</v>
      </c>
      <c r="X598" s="62" t="s">
        <v>1932</v>
      </c>
    </row>
    <row r="599" spans="20:24">
      <c r="T599" s="63" t="s">
        <v>2052</v>
      </c>
      <c r="U599" s="63" t="s">
        <v>1739</v>
      </c>
      <c r="V599" s="63" t="s">
        <v>1768</v>
      </c>
      <c r="W599" s="63" t="s">
        <v>1788</v>
      </c>
      <c r="X599" s="62" t="s">
        <v>1932</v>
      </c>
    </row>
    <row r="600" spans="20:24">
      <c r="T600" s="63" t="s">
        <v>1938</v>
      </c>
      <c r="U600" s="63" t="s">
        <v>1758</v>
      </c>
      <c r="V600" s="63" t="s">
        <v>1790</v>
      </c>
      <c r="W600" s="63" t="s">
        <v>1847</v>
      </c>
      <c r="X600" s="62" t="s">
        <v>1932</v>
      </c>
    </row>
    <row r="601" spans="20:24">
      <c r="T601" s="63" t="s">
        <v>2018</v>
      </c>
      <c r="U601" s="63" t="s">
        <v>1739</v>
      </c>
      <c r="V601" s="63" t="s">
        <v>1768</v>
      </c>
      <c r="W601" s="63" t="s">
        <v>1794</v>
      </c>
      <c r="X601" s="62" t="s">
        <v>1932</v>
      </c>
    </row>
    <row r="602" spans="20:24">
      <c r="T602" s="63" t="s">
        <v>2018</v>
      </c>
      <c r="U602" s="63" t="s">
        <v>1739</v>
      </c>
      <c r="V602" s="63" t="s">
        <v>1768</v>
      </c>
      <c r="W602" s="63" t="s">
        <v>1794</v>
      </c>
      <c r="X602" s="62" t="s">
        <v>1932</v>
      </c>
    </row>
    <row r="603" spans="20:24">
      <c r="T603" s="63" t="s">
        <v>2132</v>
      </c>
      <c r="U603" s="63" t="s">
        <v>1758</v>
      </c>
      <c r="V603" s="63" t="s">
        <v>1796</v>
      </c>
      <c r="W603" s="63" t="s">
        <v>1870</v>
      </c>
      <c r="X603" s="62" t="s">
        <v>1932</v>
      </c>
    </row>
    <row r="604" spans="20:24">
      <c r="T604" s="63" t="s">
        <v>1967</v>
      </c>
      <c r="U604" s="63" t="s">
        <v>1758</v>
      </c>
      <c r="V604" s="63" t="s">
        <v>1793</v>
      </c>
      <c r="W604" s="63" t="s">
        <v>1855</v>
      </c>
      <c r="X604" s="62" t="s">
        <v>1932</v>
      </c>
    </row>
    <row r="605" spans="20:24">
      <c r="T605" s="63" t="s">
        <v>2052</v>
      </c>
      <c r="U605" s="63" t="s">
        <v>1739</v>
      </c>
      <c r="V605" s="63" t="s">
        <v>1768</v>
      </c>
      <c r="W605" s="63" t="s">
        <v>1788</v>
      </c>
      <c r="X605" s="62" t="s">
        <v>1932</v>
      </c>
    </row>
    <row r="606" spans="20:24">
      <c r="T606" s="63" t="s">
        <v>1950</v>
      </c>
      <c r="U606" s="63" t="s">
        <v>1758</v>
      </c>
      <c r="V606" s="63" t="s">
        <v>1790</v>
      </c>
      <c r="W606" s="63" t="s">
        <v>1847</v>
      </c>
      <c r="X606" s="62" t="s">
        <v>1932</v>
      </c>
    </row>
    <row r="607" spans="20:24">
      <c r="T607" s="63" t="s">
        <v>1950</v>
      </c>
      <c r="U607" s="63" t="s">
        <v>1758</v>
      </c>
      <c r="V607" s="63" t="s">
        <v>1790</v>
      </c>
      <c r="W607" s="63" t="s">
        <v>1847</v>
      </c>
      <c r="X607" s="62" t="s">
        <v>1932</v>
      </c>
    </row>
    <row r="608" spans="20:24">
      <c r="T608" s="63" t="s">
        <v>2052</v>
      </c>
      <c r="U608" s="63" t="s">
        <v>1758</v>
      </c>
      <c r="V608" s="63" t="s">
        <v>1790</v>
      </c>
      <c r="W608" s="63" t="s">
        <v>1847</v>
      </c>
      <c r="X608" s="62" t="s">
        <v>1932</v>
      </c>
    </row>
    <row r="609" spans="20:24">
      <c r="T609" s="63" t="s">
        <v>1938</v>
      </c>
      <c r="U609" s="63" t="s">
        <v>1758</v>
      </c>
      <c r="V609" s="63" t="s">
        <v>1790</v>
      </c>
      <c r="W609" s="63" t="s">
        <v>1847</v>
      </c>
      <c r="X609" s="62" t="s">
        <v>1932</v>
      </c>
    </row>
    <row r="610" spans="20:24">
      <c r="T610" s="63" t="s">
        <v>2133</v>
      </c>
      <c r="U610" s="63" t="s">
        <v>1739</v>
      </c>
      <c r="V610" s="63" t="s">
        <v>1772</v>
      </c>
      <c r="W610" s="63" t="s">
        <v>1813</v>
      </c>
      <c r="X610" s="62" t="s">
        <v>1932</v>
      </c>
    </row>
    <row r="611" spans="20:24">
      <c r="T611" s="63" t="s">
        <v>1944</v>
      </c>
      <c r="U611" s="63" t="s">
        <v>1758</v>
      </c>
      <c r="V611" s="63" t="s">
        <v>1790</v>
      </c>
      <c r="W611" s="63" t="s">
        <v>1847</v>
      </c>
      <c r="X611" s="62" t="s">
        <v>1932</v>
      </c>
    </row>
    <row r="612" spans="20:24">
      <c r="T612" s="63" t="s">
        <v>1944</v>
      </c>
      <c r="U612" s="63" t="s">
        <v>1758</v>
      </c>
      <c r="V612" s="63" t="s">
        <v>1790</v>
      </c>
      <c r="W612" s="63" t="s">
        <v>1847</v>
      </c>
      <c r="X612" s="62" t="s">
        <v>1932</v>
      </c>
    </row>
    <row r="613" spans="20:24">
      <c r="T613" s="63" t="s">
        <v>2052</v>
      </c>
      <c r="U613" s="63" t="s">
        <v>1758</v>
      </c>
      <c r="V613" s="63" t="s">
        <v>1790</v>
      </c>
      <c r="W613" s="63" t="s">
        <v>1847</v>
      </c>
      <c r="X613" s="62" t="s">
        <v>1932</v>
      </c>
    </row>
    <row r="614" spans="20:24">
      <c r="T614" s="63" t="s">
        <v>1944</v>
      </c>
      <c r="U614" s="63" t="s">
        <v>1758</v>
      </c>
      <c r="V614" s="63" t="s">
        <v>1790</v>
      </c>
      <c r="W614" s="63" t="s">
        <v>1847</v>
      </c>
      <c r="X614" s="62" t="s">
        <v>1932</v>
      </c>
    </row>
    <row r="615" spans="20:24">
      <c r="T615" s="63" t="s">
        <v>1957</v>
      </c>
      <c r="U615" s="63" t="s">
        <v>1758</v>
      </c>
      <c r="V615" s="63" t="s">
        <v>1790</v>
      </c>
      <c r="W615" s="63" t="s">
        <v>1847</v>
      </c>
      <c r="X615" s="62" t="s">
        <v>1932</v>
      </c>
    </row>
    <row r="616" spans="20:24">
      <c r="T616" s="63" t="s">
        <v>2052</v>
      </c>
      <c r="U616" s="63" t="s">
        <v>1758</v>
      </c>
      <c r="V616" s="63" t="s">
        <v>1790</v>
      </c>
      <c r="W616" s="63" t="s">
        <v>1847</v>
      </c>
      <c r="X616" s="62" t="s">
        <v>1932</v>
      </c>
    </row>
    <row r="617" spans="20:24">
      <c r="T617" s="63" t="s">
        <v>2052</v>
      </c>
      <c r="U617" s="63" t="s">
        <v>1758</v>
      </c>
      <c r="V617" s="63" t="s">
        <v>1790</v>
      </c>
      <c r="W617" s="63" t="s">
        <v>1847</v>
      </c>
      <c r="X617" s="62" t="s">
        <v>1932</v>
      </c>
    </row>
    <row r="618" spans="20:24">
      <c r="T618" s="63" t="s">
        <v>1967</v>
      </c>
      <c r="U618" s="63" t="s">
        <v>1758</v>
      </c>
      <c r="V618" s="63" t="s">
        <v>1793</v>
      </c>
      <c r="W618" s="63" t="s">
        <v>1855</v>
      </c>
      <c r="X618" s="62" t="s">
        <v>1932</v>
      </c>
    </row>
    <row r="619" spans="20:24">
      <c r="T619" s="63" t="s">
        <v>1938</v>
      </c>
      <c r="U619" s="63" t="s">
        <v>1758</v>
      </c>
      <c r="V619" s="63" t="s">
        <v>1793</v>
      </c>
      <c r="W619" s="63" t="s">
        <v>1855</v>
      </c>
      <c r="X619" s="62" t="s">
        <v>1932</v>
      </c>
    </row>
    <row r="620" spans="20:24">
      <c r="T620" s="63" t="s">
        <v>2016</v>
      </c>
      <c r="U620" s="63" t="s">
        <v>1758</v>
      </c>
      <c r="V620" s="63" t="s">
        <v>1790</v>
      </c>
      <c r="W620" s="63" t="s">
        <v>1847</v>
      </c>
      <c r="X620" s="62" t="s">
        <v>1932</v>
      </c>
    </row>
    <row r="621" spans="20:24">
      <c r="T621" s="63" t="s">
        <v>2016</v>
      </c>
      <c r="U621" s="63" t="s">
        <v>1758</v>
      </c>
      <c r="V621" s="63" t="s">
        <v>1790</v>
      </c>
      <c r="W621" s="63" t="s">
        <v>1847</v>
      </c>
      <c r="X621" s="62" t="s">
        <v>1932</v>
      </c>
    </row>
    <row r="622" spans="20:24">
      <c r="T622" s="63" t="s">
        <v>2019</v>
      </c>
      <c r="U622" s="63" t="s">
        <v>1739</v>
      </c>
      <c r="V622" s="63" t="s">
        <v>1772</v>
      </c>
      <c r="W622" s="63" t="s">
        <v>1820</v>
      </c>
      <c r="X622" s="62" t="s">
        <v>1932</v>
      </c>
    </row>
    <row r="623" spans="20:24">
      <c r="T623" s="63" t="s">
        <v>2046</v>
      </c>
      <c r="U623" s="63" t="s">
        <v>1758</v>
      </c>
      <c r="V623" s="63" t="s">
        <v>1790</v>
      </c>
      <c r="W623" s="63" t="s">
        <v>1847</v>
      </c>
      <c r="X623" s="62" t="s">
        <v>1932</v>
      </c>
    </row>
    <row r="624" spans="20:24">
      <c r="T624" s="63" t="s">
        <v>2046</v>
      </c>
      <c r="U624" s="63" t="s">
        <v>1758</v>
      </c>
      <c r="V624" s="63" t="s">
        <v>1790</v>
      </c>
      <c r="W624" s="63" t="s">
        <v>1847</v>
      </c>
      <c r="X624" s="62" t="s">
        <v>1932</v>
      </c>
    </row>
    <row r="625" spans="20:24">
      <c r="T625" s="63" t="s">
        <v>2001</v>
      </c>
      <c r="U625" s="63" t="s">
        <v>1739</v>
      </c>
      <c r="V625" s="63" t="s">
        <v>1784</v>
      </c>
      <c r="W625" s="63" t="s">
        <v>1838</v>
      </c>
      <c r="X625" s="62" t="s">
        <v>1932</v>
      </c>
    </row>
    <row r="626" spans="20:24">
      <c r="T626" s="63" t="s">
        <v>1953</v>
      </c>
      <c r="U626" s="63" t="s">
        <v>1739</v>
      </c>
      <c r="V626" s="63" t="s">
        <v>1772</v>
      </c>
      <c r="W626" s="63" t="s">
        <v>1813</v>
      </c>
      <c r="X626" s="62" t="s">
        <v>1932</v>
      </c>
    </row>
    <row r="627" spans="20:24">
      <c r="T627" s="63" t="s">
        <v>1957</v>
      </c>
      <c r="U627" s="63" t="s">
        <v>1758</v>
      </c>
      <c r="V627" s="63" t="s">
        <v>1790</v>
      </c>
      <c r="W627" s="63" t="s">
        <v>1847</v>
      </c>
      <c r="X627" s="62" t="s">
        <v>1932</v>
      </c>
    </row>
    <row r="628" spans="20:24">
      <c r="T628" s="63" t="s">
        <v>2020</v>
      </c>
      <c r="U628" s="63" t="s">
        <v>1758</v>
      </c>
      <c r="V628" s="63" t="s">
        <v>1790</v>
      </c>
      <c r="W628" s="63" t="s">
        <v>1847</v>
      </c>
      <c r="X628" s="62" t="s">
        <v>1932</v>
      </c>
    </row>
    <row r="629" spans="20:24">
      <c r="T629" s="63" t="s">
        <v>2020</v>
      </c>
      <c r="U629" s="63" t="s">
        <v>1758</v>
      </c>
      <c r="V629" s="63" t="s">
        <v>1790</v>
      </c>
      <c r="W629" s="63" t="s">
        <v>1847</v>
      </c>
      <c r="X629" s="62" t="s">
        <v>1932</v>
      </c>
    </row>
    <row r="630" spans="20:24">
      <c r="T630" s="63" t="s">
        <v>2046</v>
      </c>
      <c r="U630" s="63" t="s">
        <v>1758</v>
      </c>
      <c r="V630" s="63" t="s">
        <v>1790</v>
      </c>
      <c r="W630" s="63" t="s">
        <v>1847</v>
      </c>
      <c r="X630" s="62" t="s">
        <v>1932</v>
      </c>
    </row>
    <row r="631" spans="20:24">
      <c r="T631" s="63" t="s">
        <v>1943</v>
      </c>
      <c r="U631" s="63" t="s">
        <v>1758</v>
      </c>
      <c r="V631" s="63" t="s">
        <v>1790</v>
      </c>
      <c r="W631" s="63" t="s">
        <v>1847</v>
      </c>
      <c r="X631" s="62" t="s">
        <v>1932</v>
      </c>
    </row>
    <row r="632" spans="20:24">
      <c r="T632" s="63" t="s">
        <v>2046</v>
      </c>
      <c r="U632" s="63" t="s">
        <v>1758</v>
      </c>
      <c r="V632" s="63" t="s">
        <v>1790</v>
      </c>
      <c r="W632" s="63" t="s">
        <v>1847</v>
      </c>
      <c r="X632" s="62" t="s">
        <v>1932</v>
      </c>
    </row>
    <row r="633" spans="20:24">
      <c r="T633" s="63" t="s">
        <v>2046</v>
      </c>
      <c r="U633" s="63" t="s">
        <v>1758</v>
      </c>
      <c r="V633" s="63" t="s">
        <v>1790</v>
      </c>
      <c r="W633" s="63" t="s">
        <v>1847</v>
      </c>
      <c r="X633" s="62" t="s">
        <v>1932</v>
      </c>
    </row>
    <row r="634" spans="20:24">
      <c r="T634" s="63" t="s">
        <v>2046</v>
      </c>
      <c r="U634" s="63" t="s">
        <v>1758</v>
      </c>
      <c r="V634" s="63" t="s">
        <v>1790</v>
      </c>
      <c r="W634" s="63" t="s">
        <v>1847</v>
      </c>
      <c r="X634" s="62" t="s">
        <v>1932</v>
      </c>
    </row>
    <row r="635" spans="20:24">
      <c r="T635" s="63" t="s">
        <v>1938</v>
      </c>
      <c r="U635" s="63" t="s">
        <v>1758</v>
      </c>
      <c r="V635" s="63" t="s">
        <v>1790</v>
      </c>
      <c r="W635" s="63" t="s">
        <v>1847</v>
      </c>
      <c r="X635" s="62" t="s">
        <v>1932</v>
      </c>
    </row>
    <row r="636" spans="20:24">
      <c r="T636" s="63" t="s">
        <v>2019</v>
      </c>
      <c r="U636" s="63" t="s">
        <v>1739</v>
      </c>
      <c r="V636" s="63" t="s">
        <v>1772</v>
      </c>
      <c r="W636" s="63" t="s">
        <v>1820</v>
      </c>
      <c r="X636" s="62" t="s">
        <v>1932</v>
      </c>
    </row>
    <row r="637" spans="20:24">
      <c r="T637" s="63" t="s">
        <v>2052</v>
      </c>
      <c r="U637" s="63" t="s">
        <v>1758</v>
      </c>
      <c r="V637" s="63" t="s">
        <v>1790</v>
      </c>
      <c r="W637" s="63" t="s">
        <v>1847</v>
      </c>
      <c r="X637" s="62" t="s">
        <v>1932</v>
      </c>
    </row>
    <row r="638" spans="20:24">
      <c r="T638" s="63" t="s">
        <v>1942</v>
      </c>
      <c r="U638" s="63" t="s">
        <v>1758</v>
      </c>
      <c r="V638" s="63" t="s">
        <v>1790</v>
      </c>
      <c r="W638" s="63" t="s">
        <v>1847</v>
      </c>
      <c r="X638" s="62" t="s">
        <v>1932</v>
      </c>
    </row>
    <row r="639" spans="20:24">
      <c r="T639" s="63" t="s">
        <v>1966</v>
      </c>
      <c r="U639" s="63" t="s">
        <v>1739</v>
      </c>
      <c r="V639" s="63" t="s">
        <v>1768</v>
      </c>
      <c r="W639" s="63" t="s">
        <v>1788</v>
      </c>
      <c r="X639" s="62" t="s">
        <v>1932</v>
      </c>
    </row>
    <row r="640" spans="20:24">
      <c r="T640" s="63" t="s">
        <v>2052</v>
      </c>
      <c r="U640" s="63" t="s">
        <v>1758</v>
      </c>
      <c r="V640" s="63" t="s">
        <v>1790</v>
      </c>
      <c r="W640" s="63" t="s">
        <v>1847</v>
      </c>
      <c r="X640" s="62" t="s">
        <v>1932</v>
      </c>
    </row>
    <row r="641" spans="20:24">
      <c r="T641" s="63" t="s">
        <v>1967</v>
      </c>
      <c r="U641" s="63" t="s">
        <v>1758</v>
      </c>
      <c r="V641" s="63" t="s">
        <v>1793</v>
      </c>
      <c r="W641" s="63" t="s">
        <v>1855</v>
      </c>
      <c r="X641" s="62" t="s">
        <v>1932</v>
      </c>
    </row>
    <row r="642" spans="20:24">
      <c r="T642" s="63" t="s">
        <v>1938</v>
      </c>
      <c r="U642" s="63" t="s">
        <v>1758</v>
      </c>
      <c r="V642" s="63" t="s">
        <v>1790</v>
      </c>
      <c r="W642" s="63" t="s">
        <v>1847</v>
      </c>
      <c r="X642" s="62" t="s">
        <v>1932</v>
      </c>
    </row>
    <row r="643" spans="20:24">
      <c r="T643" s="63" t="s">
        <v>2074</v>
      </c>
      <c r="U643" s="63" t="s">
        <v>1739</v>
      </c>
      <c r="V643" s="63" t="s">
        <v>1772</v>
      </c>
      <c r="W643" s="63" t="s">
        <v>1813</v>
      </c>
      <c r="X643" s="62" t="s">
        <v>1932</v>
      </c>
    </row>
    <row r="644" spans="20:24">
      <c r="T644" s="63" t="s">
        <v>1944</v>
      </c>
      <c r="U644" s="63" t="s">
        <v>1758</v>
      </c>
      <c r="V644" s="63" t="s">
        <v>1790</v>
      </c>
      <c r="W644" s="63" t="s">
        <v>1847</v>
      </c>
      <c r="X644" s="62" t="s">
        <v>1932</v>
      </c>
    </row>
    <row r="645" spans="20:24">
      <c r="T645" s="63" t="s">
        <v>1944</v>
      </c>
      <c r="U645" s="63" t="s">
        <v>1758</v>
      </c>
      <c r="V645" s="63" t="s">
        <v>1790</v>
      </c>
      <c r="W645" s="63" t="s">
        <v>1847</v>
      </c>
      <c r="X645" s="62" t="s">
        <v>1932</v>
      </c>
    </row>
    <row r="646" spans="20:24">
      <c r="T646" s="63" t="s">
        <v>2049</v>
      </c>
      <c r="U646" s="63" t="s">
        <v>1758</v>
      </c>
      <c r="V646" s="63" t="s">
        <v>1790</v>
      </c>
      <c r="W646" s="63" t="s">
        <v>1847</v>
      </c>
      <c r="X646" s="62" t="s">
        <v>1932</v>
      </c>
    </row>
    <row r="647" spans="20:24">
      <c r="T647" s="63" t="s">
        <v>1950</v>
      </c>
      <c r="U647" s="63" t="s">
        <v>1758</v>
      </c>
      <c r="V647" s="63" t="s">
        <v>1790</v>
      </c>
      <c r="W647" s="63" t="s">
        <v>1847</v>
      </c>
      <c r="X647" s="62" t="s">
        <v>1932</v>
      </c>
    </row>
    <row r="648" spans="20:24">
      <c r="T648" s="63" t="s">
        <v>2021</v>
      </c>
      <c r="U648" s="63" t="s">
        <v>1758</v>
      </c>
      <c r="V648" s="63" t="s">
        <v>1790</v>
      </c>
      <c r="W648" s="63" t="s">
        <v>1847</v>
      </c>
      <c r="X648" s="62" t="s">
        <v>1932</v>
      </c>
    </row>
    <row r="649" spans="20:24">
      <c r="T649" s="63" t="s">
        <v>1943</v>
      </c>
      <c r="U649" s="63" t="s">
        <v>1758</v>
      </c>
      <c r="V649" s="63" t="s">
        <v>1790</v>
      </c>
      <c r="W649" s="63" t="s">
        <v>1847</v>
      </c>
      <c r="X649" s="62" t="s">
        <v>1932</v>
      </c>
    </row>
    <row r="650" spans="20:24">
      <c r="T650" s="63" t="s">
        <v>2046</v>
      </c>
      <c r="U650" s="63" t="s">
        <v>1758</v>
      </c>
      <c r="V650" s="63" t="s">
        <v>1790</v>
      </c>
      <c r="W650" s="63" t="s">
        <v>1847</v>
      </c>
      <c r="X650" s="62" t="s">
        <v>1932</v>
      </c>
    </row>
    <row r="651" spans="20:24">
      <c r="T651" s="63" t="s">
        <v>2022</v>
      </c>
      <c r="U651" s="63" t="s">
        <v>1739</v>
      </c>
      <c r="V651" s="63" t="s">
        <v>1772</v>
      </c>
      <c r="W651" s="63" t="s">
        <v>1813</v>
      </c>
      <c r="X651" s="62" t="s">
        <v>1932</v>
      </c>
    </row>
    <row r="652" spans="20:24">
      <c r="T652" s="63" t="s">
        <v>2111</v>
      </c>
      <c r="U652" s="63" t="s">
        <v>1758</v>
      </c>
      <c r="V652" s="63" t="s">
        <v>1790</v>
      </c>
      <c r="W652" s="63" t="s">
        <v>1847</v>
      </c>
      <c r="X652" s="63" t="s">
        <v>1893</v>
      </c>
    </row>
    <row r="653" spans="20:24">
      <c r="T653" s="63" t="s">
        <v>1944</v>
      </c>
      <c r="U653" s="63" t="s">
        <v>1758</v>
      </c>
      <c r="V653" s="63" t="s">
        <v>1790</v>
      </c>
      <c r="W653" s="63" t="s">
        <v>1847</v>
      </c>
      <c r="X653" s="62" t="s">
        <v>1932</v>
      </c>
    </row>
    <row r="654" spans="20:24">
      <c r="T654" s="63" t="s">
        <v>2134</v>
      </c>
      <c r="U654" s="63" t="s">
        <v>1739</v>
      </c>
      <c r="V654" s="63" t="s">
        <v>1781</v>
      </c>
      <c r="W654" s="63" t="s">
        <v>1836</v>
      </c>
      <c r="X654" s="62" t="s">
        <v>1932</v>
      </c>
    </row>
    <row r="655" spans="20:24">
      <c r="T655" s="63" t="s">
        <v>2046</v>
      </c>
      <c r="U655" s="63" t="s">
        <v>1758</v>
      </c>
      <c r="V655" s="63" t="s">
        <v>1790</v>
      </c>
      <c r="W655" s="63" t="s">
        <v>1847</v>
      </c>
      <c r="X655" s="62" t="s">
        <v>1932</v>
      </c>
    </row>
    <row r="656" spans="20:24">
      <c r="T656" s="63" t="s">
        <v>2046</v>
      </c>
      <c r="U656" s="63" t="s">
        <v>1758</v>
      </c>
      <c r="V656" s="63" t="s">
        <v>1790</v>
      </c>
      <c r="W656" s="63" t="s">
        <v>1847</v>
      </c>
      <c r="X656" s="62" t="s">
        <v>1932</v>
      </c>
    </row>
    <row r="657" spans="20:24">
      <c r="T657" s="63" t="s">
        <v>1957</v>
      </c>
      <c r="U657" s="63" t="s">
        <v>1758</v>
      </c>
      <c r="V657" s="63" t="s">
        <v>1790</v>
      </c>
      <c r="W657" s="63" t="s">
        <v>1847</v>
      </c>
      <c r="X657" s="62" t="s">
        <v>1932</v>
      </c>
    </row>
    <row r="658" spans="20:24">
      <c r="T658" s="63" t="s">
        <v>2046</v>
      </c>
      <c r="U658" s="63" t="s">
        <v>1758</v>
      </c>
      <c r="V658" s="63" t="s">
        <v>1790</v>
      </c>
      <c r="W658" s="63" t="s">
        <v>1847</v>
      </c>
      <c r="X658" s="62" t="s">
        <v>1932</v>
      </c>
    </row>
    <row r="659" spans="20:24">
      <c r="T659" s="63" t="s">
        <v>2046</v>
      </c>
      <c r="U659" s="63" t="s">
        <v>1758</v>
      </c>
      <c r="V659" s="63" t="s">
        <v>1790</v>
      </c>
      <c r="W659" s="63" t="s">
        <v>1847</v>
      </c>
      <c r="X659" s="62" t="s">
        <v>1932</v>
      </c>
    </row>
    <row r="660" spans="20:24">
      <c r="T660" s="63" t="s">
        <v>2046</v>
      </c>
      <c r="U660" s="63" t="s">
        <v>1758</v>
      </c>
      <c r="V660" s="63" t="s">
        <v>1790</v>
      </c>
      <c r="W660" s="63" t="s">
        <v>1847</v>
      </c>
      <c r="X660" s="62" t="s">
        <v>1932</v>
      </c>
    </row>
    <row r="661" spans="20:24">
      <c r="T661" s="63" t="s">
        <v>1950</v>
      </c>
      <c r="U661" s="63" t="s">
        <v>1758</v>
      </c>
      <c r="V661" s="63" t="s">
        <v>1790</v>
      </c>
      <c r="W661" s="63" t="s">
        <v>1847</v>
      </c>
      <c r="X661" s="62" t="s">
        <v>1932</v>
      </c>
    </row>
    <row r="662" spans="20:24">
      <c r="T662" s="63" t="s">
        <v>1967</v>
      </c>
      <c r="U662" s="63" t="s">
        <v>1758</v>
      </c>
      <c r="V662" s="63" t="s">
        <v>1793</v>
      </c>
      <c r="W662" s="63" t="s">
        <v>1855</v>
      </c>
      <c r="X662" s="62" t="s">
        <v>1932</v>
      </c>
    </row>
    <row r="663" spans="20:24">
      <c r="T663" s="63" t="s">
        <v>2052</v>
      </c>
      <c r="U663" s="63" t="s">
        <v>1758</v>
      </c>
      <c r="V663" s="63" t="s">
        <v>1790</v>
      </c>
      <c r="W663" s="63" t="s">
        <v>1847</v>
      </c>
      <c r="X663" s="62" t="s">
        <v>1932</v>
      </c>
    </row>
    <row r="664" spans="20:24">
      <c r="T664" s="63" t="s">
        <v>1970</v>
      </c>
      <c r="U664" s="63" t="s">
        <v>1758</v>
      </c>
      <c r="V664" s="63" t="s">
        <v>1790</v>
      </c>
      <c r="W664" s="63" t="s">
        <v>1847</v>
      </c>
      <c r="X664" s="62" t="s">
        <v>1932</v>
      </c>
    </row>
    <row r="665" spans="20:24">
      <c r="T665" s="63" t="s">
        <v>2052</v>
      </c>
      <c r="U665" s="63" t="s">
        <v>1758</v>
      </c>
      <c r="V665" s="63" t="s">
        <v>1790</v>
      </c>
      <c r="W665" s="63" t="s">
        <v>1847</v>
      </c>
      <c r="X665" s="62" t="s">
        <v>1932</v>
      </c>
    </row>
    <row r="666" spans="20:24">
      <c r="T666" s="63" t="s">
        <v>2046</v>
      </c>
      <c r="U666" s="63" t="s">
        <v>1758</v>
      </c>
      <c r="V666" s="63" t="s">
        <v>1790</v>
      </c>
      <c r="W666" s="63" t="s">
        <v>1847</v>
      </c>
      <c r="X666" s="62" t="s">
        <v>1932</v>
      </c>
    </row>
    <row r="667" spans="20:24">
      <c r="T667" s="63" t="s">
        <v>1953</v>
      </c>
      <c r="U667" s="63" t="s">
        <v>1739</v>
      </c>
      <c r="V667" s="63" t="s">
        <v>1772</v>
      </c>
      <c r="W667" s="63" t="s">
        <v>1813</v>
      </c>
      <c r="X667" s="62" t="s">
        <v>1932</v>
      </c>
    </row>
    <row r="668" spans="20:24">
      <c r="T668" s="63" t="s">
        <v>2047</v>
      </c>
      <c r="U668" s="63" t="s">
        <v>1758</v>
      </c>
      <c r="V668" s="63" t="s">
        <v>1790</v>
      </c>
      <c r="W668" s="63" t="s">
        <v>1847</v>
      </c>
      <c r="X668" s="62" t="s">
        <v>1932</v>
      </c>
    </row>
    <row r="669" spans="20:24">
      <c r="T669" s="63" t="s">
        <v>2047</v>
      </c>
      <c r="U669" s="63" t="s">
        <v>1758</v>
      </c>
      <c r="V669" s="63" t="s">
        <v>1790</v>
      </c>
      <c r="W669" s="63" t="s">
        <v>1847</v>
      </c>
      <c r="X669" s="62" t="s">
        <v>1932</v>
      </c>
    </row>
    <row r="670" spans="20:24">
      <c r="T670" s="63" t="s">
        <v>1945</v>
      </c>
      <c r="U670" s="63" t="s">
        <v>1739</v>
      </c>
      <c r="V670" s="63" t="s">
        <v>1772</v>
      </c>
      <c r="W670" s="63" t="s">
        <v>1813</v>
      </c>
      <c r="X670" s="62" t="s">
        <v>1932</v>
      </c>
    </row>
    <row r="671" spans="20:24">
      <c r="T671" s="63" t="s">
        <v>2046</v>
      </c>
      <c r="U671" s="63" t="s">
        <v>1758</v>
      </c>
      <c r="V671" s="63" t="s">
        <v>1790</v>
      </c>
      <c r="W671" s="63" t="s">
        <v>1847</v>
      </c>
      <c r="X671" s="62" t="s">
        <v>1932</v>
      </c>
    </row>
    <row r="672" spans="20:24">
      <c r="T672" s="63" t="s">
        <v>1957</v>
      </c>
      <c r="U672" s="63" t="s">
        <v>1758</v>
      </c>
      <c r="V672" s="63" t="s">
        <v>1790</v>
      </c>
      <c r="W672" s="63" t="s">
        <v>1847</v>
      </c>
      <c r="X672" s="62" t="s">
        <v>1932</v>
      </c>
    </row>
    <row r="673" spans="20:24">
      <c r="T673" s="63" t="s">
        <v>2052</v>
      </c>
      <c r="U673" s="63" t="s">
        <v>1758</v>
      </c>
      <c r="V673" s="63" t="s">
        <v>1790</v>
      </c>
      <c r="W673" s="63" t="s">
        <v>1847</v>
      </c>
      <c r="X673" s="62" t="s">
        <v>1932</v>
      </c>
    </row>
    <row r="674" spans="20:24">
      <c r="T674" s="63" t="s">
        <v>1950</v>
      </c>
      <c r="U674" s="63" t="s">
        <v>1758</v>
      </c>
      <c r="V674" s="63" t="s">
        <v>1790</v>
      </c>
      <c r="W674" s="63" t="s">
        <v>1847</v>
      </c>
      <c r="X674" s="62" t="s">
        <v>1932</v>
      </c>
    </row>
    <row r="675" spans="20:24">
      <c r="T675" s="63" t="s">
        <v>2046</v>
      </c>
      <c r="U675" s="63" t="s">
        <v>1758</v>
      </c>
      <c r="V675" s="63" t="s">
        <v>1790</v>
      </c>
      <c r="W675" s="63" t="s">
        <v>1847</v>
      </c>
      <c r="X675" s="62" t="s">
        <v>1932</v>
      </c>
    </row>
    <row r="676" spans="20:24">
      <c r="T676" s="63" t="s">
        <v>2046</v>
      </c>
      <c r="U676" s="63" t="s">
        <v>1758</v>
      </c>
      <c r="V676" s="63" t="s">
        <v>1790</v>
      </c>
      <c r="W676" s="63" t="s">
        <v>1847</v>
      </c>
      <c r="X676" s="62" t="s">
        <v>1932</v>
      </c>
    </row>
    <row r="677" spans="20:24">
      <c r="T677" s="63" t="s">
        <v>2049</v>
      </c>
      <c r="U677" s="63" t="s">
        <v>1758</v>
      </c>
      <c r="V677" s="63" t="s">
        <v>1790</v>
      </c>
      <c r="W677" s="63" t="s">
        <v>1847</v>
      </c>
      <c r="X677" s="62" t="s">
        <v>1932</v>
      </c>
    </row>
    <row r="678" spans="20:24">
      <c r="T678" s="63" t="s">
        <v>2046</v>
      </c>
      <c r="U678" s="63" t="s">
        <v>1758</v>
      </c>
      <c r="V678" s="63" t="s">
        <v>1790</v>
      </c>
      <c r="W678" s="63" t="s">
        <v>1847</v>
      </c>
      <c r="X678" s="62" t="s">
        <v>1932</v>
      </c>
    </row>
    <row r="679" spans="20:24">
      <c r="T679" s="63" t="s">
        <v>2113</v>
      </c>
      <c r="U679" s="63" t="s">
        <v>1739</v>
      </c>
      <c r="V679" s="63" t="s">
        <v>1784</v>
      </c>
      <c r="W679" s="63" t="s">
        <v>1838</v>
      </c>
      <c r="X679" s="62" t="s">
        <v>1932</v>
      </c>
    </row>
    <row r="680" spans="20:24">
      <c r="T680" s="63" t="s">
        <v>2114</v>
      </c>
      <c r="U680" s="63" t="s">
        <v>1739</v>
      </c>
      <c r="V680" s="63" t="s">
        <v>1784</v>
      </c>
      <c r="W680" s="63" t="s">
        <v>1838</v>
      </c>
      <c r="X680" s="62" t="s">
        <v>1932</v>
      </c>
    </row>
    <row r="681" spans="20:24">
      <c r="T681" s="63" t="s">
        <v>2008</v>
      </c>
      <c r="U681" s="63" t="s">
        <v>1739</v>
      </c>
      <c r="V681" s="63" t="s">
        <v>1784</v>
      </c>
      <c r="W681" s="63" t="s">
        <v>1838</v>
      </c>
      <c r="X681" s="62" t="s">
        <v>1932</v>
      </c>
    </row>
    <row r="682" spans="20:24">
      <c r="T682" s="63" t="s">
        <v>2115</v>
      </c>
      <c r="U682" s="63" t="s">
        <v>1739</v>
      </c>
      <c r="V682" s="63" t="s">
        <v>1784</v>
      </c>
      <c r="W682" s="63" t="s">
        <v>1838</v>
      </c>
      <c r="X682" s="62" t="s">
        <v>1932</v>
      </c>
    </row>
    <row r="683" spans="20:24">
      <c r="T683" s="63" t="s">
        <v>2115</v>
      </c>
      <c r="U683" s="63" t="s">
        <v>1739</v>
      </c>
      <c r="V683" s="63" t="s">
        <v>1784</v>
      </c>
      <c r="W683" s="63" t="s">
        <v>1838</v>
      </c>
      <c r="X683" s="62" t="s">
        <v>1932</v>
      </c>
    </row>
    <row r="684" spans="20:24">
      <c r="T684" s="63" t="s">
        <v>2115</v>
      </c>
      <c r="U684" s="63" t="s">
        <v>1739</v>
      </c>
      <c r="V684" s="63" t="s">
        <v>1784</v>
      </c>
      <c r="W684" s="63" t="s">
        <v>1838</v>
      </c>
      <c r="X684" s="62" t="s">
        <v>1932</v>
      </c>
    </row>
    <row r="685" spans="20:24">
      <c r="T685" s="63" t="s">
        <v>2009</v>
      </c>
      <c r="U685" s="63" t="s">
        <v>1739</v>
      </c>
      <c r="V685" s="63" t="s">
        <v>1784</v>
      </c>
      <c r="W685" s="63" t="s">
        <v>1838</v>
      </c>
      <c r="X685" s="62" t="s">
        <v>1932</v>
      </c>
    </row>
    <row r="686" spans="20:24">
      <c r="T686" s="63" t="s">
        <v>2023</v>
      </c>
      <c r="U686" s="63" t="s">
        <v>1758</v>
      </c>
      <c r="V686" s="63" t="s">
        <v>1796</v>
      </c>
      <c r="W686" s="63" t="s">
        <v>1870</v>
      </c>
      <c r="X686" s="62" t="s">
        <v>1932</v>
      </c>
    </row>
    <row r="687" spans="20:24">
      <c r="T687" s="63" t="s">
        <v>1938</v>
      </c>
      <c r="U687" s="63" t="s">
        <v>1758</v>
      </c>
      <c r="V687" s="63" t="s">
        <v>1790</v>
      </c>
      <c r="W687" s="63" t="s">
        <v>1847</v>
      </c>
      <c r="X687" s="62" t="s">
        <v>1932</v>
      </c>
    </row>
    <row r="688" spans="20:24">
      <c r="T688" s="63" t="s">
        <v>2046</v>
      </c>
      <c r="U688" s="63" t="s">
        <v>1758</v>
      </c>
      <c r="V688" s="63" t="s">
        <v>1790</v>
      </c>
      <c r="W688" s="63" t="s">
        <v>1847</v>
      </c>
      <c r="X688" s="62" t="s">
        <v>1932</v>
      </c>
    </row>
    <row r="689" spans="20:24">
      <c r="T689" s="63" t="s">
        <v>1944</v>
      </c>
      <c r="U689" s="63" t="s">
        <v>1758</v>
      </c>
      <c r="V689" s="63" t="s">
        <v>1790</v>
      </c>
      <c r="W689" s="63" t="s">
        <v>1847</v>
      </c>
      <c r="X689" s="62" t="s">
        <v>1932</v>
      </c>
    </row>
    <row r="690" spans="20:24">
      <c r="T690" s="63" t="s">
        <v>2046</v>
      </c>
      <c r="U690" s="63" t="s">
        <v>1758</v>
      </c>
      <c r="V690" s="63" t="s">
        <v>1790</v>
      </c>
      <c r="W690" s="63" t="s">
        <v>1847</v>
      </c>
      <c r="X690" s="62" t="s">
        <v>1932</v>
      </c>
    </row>
    <row r="691" spans="20:24">
      <c r="T691" s="63" t="s">
        <v>2024</v>
      </c>
      <c r="U691" s="63" t="s">
        <v>1758</v>
      </c>
      <c r="V691" s="63" t="s">
        <v>1796</v>
      </c>
      <c r="W691" s="63" t="s">
        <v>1870</v>
      </c>
      <c r="X691" s="62" t="s">
        <v>1932</v>
      </c>
    </row>
    <row r="692" spans="20:24">
      <c r="T692" s="63" t="s">
        <v>1967</v>
      </c>
      <c r="U692" s="63" t="s">
        <v>1758</v>
      </c>
      <c r="V692" s="63" t="s">
        <v>1790</v>
      </c>
      <c r="W692" s="63" t="s">
        <v>1847</v>
      </c>
      <c r="X692" s="62" t="s">
        <v>1932</v>
      </c>
    </row>
    <row r="693" spans="20:24">
      <c r="T693" s="63" t="s">
        <v>1942</v>
      </c>
      <c r="U693" s="63" t="s">
        <v>1758</v>
      </c>
      <c r="V693" s="63" t="s">
        <v>1790</v>
      </c>
      <c r="W693" s="63" t="s">
        <v>1847</v>
      </c>
      <c r="X693" s="62" t="s">
        <v>1932</v>
      </c>
    </row>
    <row r="694" spans="20:24">
      <c r="T694" s="63" t="s">
        <v>2046</v>
      </c>
      <c r="U694" s="63" t="s">
        <v>1758</v>
      </c>
      <c r="V694" s="63" t="s">
        <v>1790</v>
      </c>
      <c r="W694" s="63" t="s">
        <v>1847</v>
      </c>
      <c r="X694" s="62" t="s">
        <v>1932</v>
      </c>
    </row>
    <row r="695" spans="20:24">
      <c r="T695" s="63" t="s">
        <v>2046</v>
      </c>
      <c r="U695" s="63" t="s">
        <v>1758</v>
      </c>
      <c r="V695" s="63" t="s">
        <v>1790</v>
      </c>
      <c r="W695" s="63" t="s">
        <v>1847</v>
      </c>
      <c r="X695" s="62" t="s">
        <v>1932</v>
      </c>
    </row>
    <row r="696" spans="20:24">
      <c r="T696" s="63" t="s">
        <v>2096</v>
      </c>
      <c r="U696" s="63" t="s">
        <v>1758</v>
      </c>
      <c r="V696" s="63" t="s">
        <v>1796</v>
      </c>
      <c r="W696" s="63" t="s">
        <v>1870</v>
      </c>
      <c r="X696" s="62" t="s">
        <v>1932</v>
      </c>
    </row>
    <row r="697" spans="20:24">
      <c r="T697" s="63" t="s">
        <v>2046</v>
      </c>
      <c r="U697" s="63" t="s">
        <v>1758</v>
      </c>
      <c r="V697" s="63" t="s">
        <v>1790</v>
      </c>
      <c r="W697" s="63" t="s">
        <v>1847</v>
      </c>
      <c r="X697" s="62" t="s">
        <v>1932</v>
      </c>
    </row>
    <row r="698" spans="20:24">
      <c r="T698" s="63" t="s">
        <v>1944</v>
      </c>
      <c r="U698" s="63" t="s">
        <v>1758</v>
      </c>
      <c r="V698" s="63" t="s">
        <v>1790</v>
      </c>
      <c r="W698" s="63" t="s">
        <v>1847</v>
      </c>
      <c r="X698" s="62" t="s">
        <v>1932</v>
      </c>
    </row>
    <row r="699" spans="20:24">
      <c r="T699" s="63" t="s">
        <v>1986</v>
      </c>
      <c r="U699" s="63" t="s">
        <v>1758</v>
      </c>
      <c r="V699" s="63" t="s">
        <v>1796</v>
      </c>
      <c r="W699" s="63" t="s">
        <v>1870</v>
      </c>
      <c r="X699" s="62" t="s">
        <v>1932</v>
      </c>
    </row>
    <row r="700" spans="20:24">
      <c r="T700" s="63" t="s">
        <v>1938</v>
      </c>
      <c r="U700" s="63" t="s">
        <v>1758</v>
      </c>
      <c r="V700" s="63" t="s">
        <v>1790</v>
      </c>
      <c r="W700" s="63" t="s">
        <v>1847</v>
      </c>
      <c r="X700" s="62" t="s">
        <v>1932</v>
      </c>
    </row>
    <row r="701" spans="20:24">
      <c r="T701" s="63" t="s">
        <v>2016</v>
      </c>
      <c r="U701" s="63" t="s">
        <v>1758</v>
      </c>
      <c r="V701" s="63" t="s">
        <v>1790</v>
      </c>
      <c r="W701" s="63" t="s">
        <v>1847</v>
      </c>
      <c r="X701" s="62" t="s">
        <v>1932</v>
      </c>
    </row>
    <row r="702" spans="20:24">
      <c r="T702" s="63" t="s">
        <v>2135</v>
      </c>
      <c r="U702" s="63" t="s">
        <v>1739</v>
      </c>
      <c r="V702" s="63" t="s">
        <v>1772</v>
      </c>
      <c r="W702" s="63" t="s">
        <v>1810</v>
      </c>
      <c r="X702" s="62" t="s">
        <v>1932</v>
      </c>
    </row>
    <row r="703" spans="20:24">
      <c r="T703" s="63" t="s">
        <v>1943</v>
      </c>
      <c r="U703" s="63" t="s">
        <v>1758</v>
      </c>
      <c r="V703" s="63" t="s">
        <v>1790</v>
      </c>
      <c r="W703" s="63" t="s">
        <v>1847</v>
      </c>
      <c r="X703" s="63" t="s">
        <v>1893</v>
      </c>
    </row>
    <row r="704" spans="20:24">
      <c r="T704" s="63" t="s">
        <v>2049</v>
      </c>
      <c r="U704" s="63" t="s">
        <v>1758</v>
      </c>
      <c r="V704" s="63" t="s">
        <v>1790</v>
      </c>
      <c r="W704" s="63" t="s">
        <v>1847</v>
      </c>
      <c r="X704" s="62" t="s">
        <v>1932</v>
      </c>
    </row>
    <row r="705" spans="20:24">
      <c r="T705" s="63" t="s">
        <v>1953</v>
      </c>
      <c r="U705" s="63" t="s">
        <v>1739</v>
      </c>
      <c r="V705" s="63" t="s">
        <v>1772</v>
      </c>
      <c r="W705" s="63" t="s">
        <v>1813</v>
      </c>
      <c r="X705" s="62" t="s">
        <v>1932</v>
      </c>
    </row>
    <row r="706" spans="20:24">
      <c r="T706" s="63" t="s">
        <v>2047</v>
      </c>
      <c r="U706" s="63" t="s">
        <v>1758</v>
      </c>
      <c r="V706" s="63" t="s">
        <v>1790</v>
      </c>
      <c r="W706" s="63" t="s">
        <v>1847</v>
      </c>
      <c r="X706" s="62" t="s">
        <v>1932</v>
      </c>
    </row>
    <row r="707" spans="20:24">
      <c r="T707" s="63" t="s">
        <v>2052</v>
      </c>
      <c r="U707" s="63" t="s">
        <v>1758</v>
      </c>
      <c r="V707" s="63" t="s">
        <v>1790</v>
      </c>
      <c r="W707" s="63" t="s">
        <v>1847</v>
      </c>
      <c r="X707" s="62" t="s">
        <v>1932</v>
      </c>
    </row>
    <row r="708" spans="20:24">
      <c r="T708" s="63" t="s">
        <v>1938</v>
      </c>
      <c r="U708" s="63" t="s">
        <v>1758</v>
      </c>
      <c r="V708" s="63" t="s">
        <v>1790</v>
      </c>
      <c r="W708" s="63" t="s">
        <v>1847</v>
      </c>
      <c r="X708" s="62" t="s">
        <v>1932</v>
      </c>
    </row>
    <row r="709" spans="20:24">
      <c r="T709" s="63" t="s">
        <v>2046</v>
      </c>
      <c r="U709" s="63" t="s">
        <v>1758</v>
      </c>
      <c r="V709" s="63" t="s">
        <v>1790</v>
      </c>
      <c r="W709" s="63" t="s">
        <v>1847</v>
      </c>
      <c r="X709" s="62" t="s">
        <v>1932</v>
      </c>
    </row>
    <row r="710" spans="20:24">
      <c r="T710" s="63" t="s">
        <v>2046</v>
      </c>
      <c r="U710" s="63" t="s">
        <v>1758</v>
      </c>
      <c r="V710" s="63" t="s">
        <v>1790</v>
      </c>
      <c r="W710" s="63" t="s">
        <v>1847</v>
      </c>
      <c r="X710" s="62" t="s">
        <v>1932</v>
      </c>
    </row>
    <row r="711" spans="20:24">
      <c r="T711" s="63" t="s">
        <v>1938</v>
      </c>
      <c r="U711" s="63" t="s">
        <v>1758</v>
      </c>
      <c r="V711" s="63" t="s">
        <v>1790</v>
      </c>
      <c r="W711" s="63" t="s">
        <v>1847</v>
      </c>
      <c r="X711" s="62" t="s">
        <v>1932</v>
      </c>
    </row>
    <row r="712" spans="20:24">
      <c r="T712" s="63" t="s">
        <v>2046</v>
      </c>
      <c r="U712" s="63" t="s">
        <v>1758</v>
      </c>
      <c r="V712" s="63" t="s">
        <v>1790</v>
      </c>
      <c r="W712" s="63" t="s">
        <v>1847</v>
      </c>
      <c r="X712" s="62" t="s">
        <v>1932</v>
      </c>
    </row>
    <row r="713" spans="20:24">
      <c r="T713" s="63" t="s">
        <v>1944</v>
      </c>
      <c r="U713" s="63" t="s">
        <v>1758</v>
      </c>
      <c r="V713" s="63" t="s">
        <v>1790</v>
      </c>
      <c r="W713" s="63" t="s">
        <v>1847</v>
      </c>
      <c r="X713" s="62" t="s">
        <v>1932</v>
      </c>
    </row>
    <row r="714" spans="20:24">
      <c r="T714" s="63" t="s">
        <v>1944</v>
      </c>
      <c r="U714" s="63" t="s">
        <v>1758</v>
      </c>
      <c r="V714" s="63" t="s">
        <v>1790</v>
      </c>
      <c r="W714" s="63" t="s">
        <v>1847</v>
      </c>
      <c r="X714" s="62" t="s">
        <v>1932</v>
      </c>
    </row>
    <row r="715" spans="20:24">
      <c r="T715" s="63" t="s">
        <v>1990</v>
      </c>
      <c r="U715" s="63" t="s">
        <v>1739</v>
      </c>
      <c r="V715" s="63" t="s">
        <v>1768</v>
      </c>
      <c r="W715" s="63" t="s">
        <v>1788</v>
      </c>
      <c r="X715" s="62" t="s">
        <v>1932</v>
      </c>
    </row>
    <row r="716" spans="20:24">
      <c r="T716" s="63" t="s">
        <v>2046</v>
      </c>
      <c r="U716" s="63" t="s">
        <v>1758</v>
      </c>
      <c r="V716" s="63" t="s">
        <v>1790</v>
      </c>
      <c r="W716" s="63" t="s">
        <v>1847</v>
      </c>
      <c r="X716" s="62" t="s">
        <v>1932</v>
      </c>
    </row>
    <row r="717" spans="20:24">
      <c r="T717" s="63" t="s">
        <v>1943</v>
      </c>
      <c r="U717" s="63" t="s">
        <v>1739</v>
      </c>
      <c r="V717" s="63" t="s">
        <v>1768</v>
      </c>
      <c r="W717" s="63" t="s">
        <v>1788</v>
      </c>
      <c r="X717" s="62" t="s">
        <v>1932</v>
      </c>
    </row>
    <row r="718" spans="20:24">
      <c r="T718" s="63" t="s">
        <v>2046</v>
      </c>
      <c r="U718" s="63" t="s">
        <v>1758</v>
      </c>
      <c r="V718" s="63" t="s">
        <v>1790</v>
      </c>
      <c r="W718" s="63" t="s">
        <v>1847</v>
      </c>
      <c r="X718" s="62" t="s">
        <v>1932</v>
      </c>
    </row>
    <row r="719" spans="20:24">
      <c r="T719" s="63" t="s">
        <v>2046</v>
      </c>
      <c r="U719" s="63" t="s">
        <v>1758</v>
      </c>
      <c r="V719" s="63" t="s">
        <v>1790</v>
      </c>
      <c r="W719" s="63" t="s">
        <v>1847</v>
      </c>
      <c r="X719" s="62" t="s">
        <v>1932</v>
      </c>
    </row>
    <row r="720" spans="20:24">
      <c r="T720" s="63" t="s">
        <v>2046</v>
      </c>
      <c r="U720" s="63" t="s">
        <v>1758</v>
      </c>
      <c r="V720" s="63" t="s">
        <v>1790</v>
      </c>
      <c r="W720" s="63" t="s">
        <v>1847</v>
      </c>
      <c r="X720" s="62" t="s">
        <v>1932</v>
      </c>
    </row>
    <row r="721" spans="20:24">
      <c r="T721" s="63" t="s">
        <v>2047</v>
      </c>
      <c r="U721" s="63" t="s">
        <v>1758</v>
      </c>
      <c r="V721" s="63" t="s">
        <v>1790</v>
      </c>
      <c r="W721" s="63" t="s">
        <v>1847</v>
      </c>
      <c r="X721" s="62" t="s">
        <v>1932</v>
      </c>
    </row>
    <row r="722" spans="20:24">
      <c r="T722" s="63" t="s">
        <v>2046</v>
      </c>
      <c r="U722" s="63" t="s">
        <v>1758</v>
      </c>
      <c r="V722" s="63" t="s">
        <v>1790</v>
      </c>
      <c r="W722" s="63" t="s">
        <v>1847</v>
      </c>
      <c r="X722" s="62" t="s">
        <v>1932</v>
      </c>
    </row>
    <row r="723" spans="20:24">
      <c r="T723" s="63" t="s">
        <v>2049</v>
      </c>
      <c r="U723" s="63" t="s">
        <v>1758</v>
      </c>
      <c r="V723" s="63" t="s">
        <v>1790</v>
      </c>
      <c r="W723" s="63" t="s">
        <v>1847</v>
      </c>
      <c r="X723" s="62" t="s">
        <v>1932</v>
      </c>
    </row>
    <row r="724" spans="20:24">
      <c r="T724" s="63" t="s">
        <v>2046</v>
      </c>
      <c r="U724" s="63" t="s">
        <v>1758</v>
      </c>
      <c r="V724" s="63" t="s">
        <v>1790</v>
      </c>
      <c r="W724" s="63" t="s">
        <v>1847</v>
      </c>
      <c r="X724" s="62" t="s">
        <v>1932</v>
      </c>
    </row>
    <row r="725" spans="20:24">
      <c r="T725" s="63" t="s">
        <v>1967</v>
      </c>
      <c r="U725" s="63" t="s">
        <v>1758</v>
      </c>
      <c r="V725" s="63" t="s">
        <v>1790</v>
      </c>
      <c r="W725" s="63" t="s">
        <v>1847</v>
      </c>
      <c r="X725" s="62" t="s">
        <v>1932</v>
      </c>
    </row>
    <row r="726" spans="20:24">
      <c r="T726" s="63" t="s">
        <v>2124</v>
      </c>
      <c r="U726" s="63" t="s">
        <v>1739</v>
      </c>
      <c r="V726" s="63" t="s">
        <v>1772</v>
      </c>
      <c r="W726" s="63" t="s">
        <v>1816</v>
      </c>
      <c r="X726" s="62" t="s">
        <v>1932</v>
      </c>
    </row>
    <row r="727" spans="20:24">
      <c r="T727" s="63" t="s">
        <v>1944</v>
      </c>
      <c r="U727" s="63" t="s">
        <v>1758</v>
      </c>
      <c r="V727" s="63" t="s">
        <v>1790</v>
      </c>
      <c r="W727" s="63" t="s">
        <v>1847</v>
      </c>
      <c r="X727" s="62" t="s">
        <v>1932</v>
      </c>
    </row>
    <row r="728" spans="20:24">
      <c r="T728" s="63" t="s">
        <v>2049</v>
      </c>
      <c r="U728" s="63" t="s">
        <v>1758</v>
      </c>
      <c r="V728" s="63" t="s">
        <v>1790</v>
      </c>
      <c r="W728" s="63" t="s">
        <v>1847</v>
      </c>
      <c r="X728" s="62" t="s">
        <v>1932</v>
      </c>
    </row>
    <row r="729" spans="20:24">
      <c r="T729" s="63" t="s">
        <v>2136</v>
      </c>
      <c r="U729" s="63" t="s">
        <v>1758</v>
      </c>
      <c r="V729" s="63" t="s">
        <v>1796</v>
      </c>
      <c r="W729" s="63" t="s">
        <v>1870</v>
      </c>
      <c r="X729" s="62" t="s">
        <v>1932</v>
      </c>
    </row>
    <row r="730" spans="20:24">
      <c r="T730" s="63" t="s">
        <v>2046</v>
      </c>
      <c r="U730" s="63" t="s">
        <v>1758</v>
      </c>
      <c r="V730" s="63" t="s">
        <v>1790</v>
      </c>
      <c r="W730" s="63" t="s">
        <v>1847</v>
      </c>
      <c r="X730" s="62" t="s">
        <v>1932</v>
      </c>
    </row>
    <row r="731" spans="20:24">
      <c r="T731" s="63" t="s">
        <v>2046</v>
      </c>
      <c r="U731" s="63" t="s">
        <v>1758</v>
      </c>
      <c r="V731" s="63" t="s">
        <v>1790</v>
      </c>
      <c r="W731" s="63" t="s">
        <v>1847</v>
      </c>
      <c r="X731" s="62" t="s">
        <v>1932</v>
      </c>
    </row>
    <row r="732" spans="20:24">
      <c r="T732" s="63" t="s">
        <v>2137</v>
      </c>
      <c r="U732" s="63" t="s">
        <v>1739</v>
      </c>
      <c r="V732" s="63" t="s">
        <v>1787</v>
      </c>
      <c r="W732" s="63" t="s">
        <v>1841</v>
      </c>
      <c r="X732" s="62" t="s">
        <v>1932</v>
      </c>
    </row>
    <row r="733" spans="20:24">
      <c r="T733" s="63" t="s">
        <v>2046</v>
      </c>
      <c r="U733" s="63" t="s">
        <v>1758</v>
      </c>
      <c r="V733" s="63" t="s">
        <v>1790</v>
      </c>
      <c r="W733" s="63" t="s">
        <v>1847</v>
      </c>
      <c r="X733" s="62" t="s">
        <v>1932</v>
      </c>
    </row>
    <row r="734" spans="20:24">
      <c r="T734" s="63" t="s">
        <v>2046</v>
      </c>
      <c r="U734" s="63" t="s">
        <v>1758</v>
      </c>
      <c r="V734" s="63" t="s">
        <v>1790</v>
      </c>
      <c r="W734" s="63" t="s">
        <v>1847</v>
      </c>
      <c r="X734" s="62" t="s">
        <v>1932</v>
      </c>
    </row>
    <row r="735" spans="20:24">
      <c r="T735" s="63" t="s">
        <v>2049</v>
      </c>
      <c r="U735" s="63" t="s">
        <v>1758</v>
      </c>
      <c r="V735" s="63" t="s">
        <v>1790</v>
      </c>
      <c r="W735" s="63" t="s">
        <v>1847</v>
      </c>
      <c r="X735" s="62" t="s">
        <v>1932</v>
      </c>
    </row>
    <row r="736" spans="20:24">
      <c r="T736" s="63" t="s">
        <v>2046</v>
      </c>
      <c r="U736" s="63" t="s">
        <v>1758</v>
      </c>
      <c r="V736" s="63" t="s">
        <v>1790</v>
      </c>
      <c r="W736" s="63" t="s">
        <v>1847</v>
      </c>
      <c r="X736" s="62" t="s">
        <v>1932</v>
      </c>
    </row>
    <row r="737" spans="20:24">
      <c r="T737" s="63" t="s">
        <v>2051</v>
      </c>
      <c r="U737" s="63" t="s">
        <v>1739</v>
      </c>
      <c r="V737" s="63" t="s">
        <v>1768</v>
      </c>
      <c r="W737" s="63" t="s">
        <v>1788</v>
      </c>
      <c r="X737" s="62" t="s">
        <v>1932</v>
      </c>
    </row>
    <row r="738" spans="20:24">
      <c r="T738" s="63" t="s">
        <v>2046</v>
      </c>
      <c r="U738" s="63" t="s">
        <v>1758</v>
      </c>
      <c r="V738" s="63" t="s">
        <v>1790</v>
      </c>
      <c r="W738" s="63" t="s">
        <v>1847</v>
      </c>
      <c r="X738" s="62" t="s">
        <v>1932</v>
      </c>
    </row>
    <row r="739" spans="20:24">
      <c r="T739" s="63" t="s">
        <v>1967</v>
      </c>
      <c r="U739" s="63" t="s">
        <v>1758</v>
      </c>
      <c r="V739" s="63" t="s">
        <v>1793</v>
      </c>
      <c r="W739" s="63" t="s">
        <v>1855</v>
      </c>
      <c r="X739" s="62" t="s">
        <v>1932</v>
      </c>
    </row>
    <row r="740" spans="20:24">
      <c r="T740" s="63" t="s">
        <v>1967</v>
      </c>
      <c r="U740" s="63" t="s">
        <v>1758</v>
      </c>
      <c r="V740" s="63" t="s">
        <v>1793</v>
      </c>
      <c r="W740" s="63" t="s">
        <v>1855</v>
      </c>
      <c r="X740" s="62" t="s">
        <v>1932</v>
      </c>
    </row>
    <row r="741" spans="20:24">
      <c r="T741" s="63" t="s">
        <v>2046</v>
      </c>
      <c r="U741" s="63" t="s">
        <v>1758</v>
      </c>
      <c r="V741" s="63" t="s">
        <v>1790</v>
      </c>
      <c r="W741" s="63" t="s">
        <v>1847</v>
      </c>
      <c r="X741" s="62" t="s">
        <v>1932</v>
      </c>
    </row>
    <row r="742" spans="20:24">
      <c r="T742" s="63" t="s">
        <v>2046</v>
      </c>
      <c r="U742" s="63" t="s">
        <v>1758</v>
      </c>
      <c r="V742" s="63" t="s">
        <v>1790</v>
      </c>
      <c r="W742" s="63" t="s">
        <v>1847</v>
      </c>
      <c r="X742" s="62" t="s">
        <v>1932</v>
      </c>
    </row>
    <row r="743" spans="20:24">
      <c r="T743" s="63" t="s">
        <v>2046</v>
      </c>
      <c r="U743" s="63" t="s">
        <v>1758</v>
      </c>
      <c r="V743" s="63" t="s">
        <v>1790</v>
      </c>
      <c r="W743" s="63" t="s">
        <v>1847</v>
      </c>
      <c r="X743" s="62" t="s">
        <v>1932</v>
      </c>
    </row>
    <row r="744" spans="20:24">
      <c r="T744" s="63" t="s">
        <v>1938</v>
      </c>
      <c r="U744" s="63" t="s">
        <v>1758</v>
      </c>
      <c r="V744" s="63" t="s">
        <v>1790</v>
      </c>
      <c r="W744" s="63" t="s">
        <v>1847</v>
      </c>
      <c r="X744" s="62" t="s">
        <v>1932</v>
      </c>
    </row>
    <row r="745" spans="20:24">
      <c r="T745" s="63" t="s">
        <v>1943</v>
      </c>
      <c r="U745" s="63" t="s">
        <v>1758</v>
      </c>
      <c r="V745" s="63" t="s">
        <v>1790</v>
      </c>
      <c r="W745" s="63" t="s">
        <v>1847</v>
      </c>
      <c r="X745" s="62" t="s">
        <v>1932</v>
      </c>
    </row>
    <row r="746" spans="20:24">
      <c r="T746" s="63" t="s">
        <v>1938</v>
      </c>
      <c r="U746" s="63" t="s">
        <v>1758</v>
      </c>
      <c r="V746" s="63" t="s">
        <v>1790</v>
      </c>
      <c r="W746" s="63" t="s">
        <v>1847</v>
      </c>
      <c r="X746" s="62" t="s">
        <v>1932</v>
      </c>
    </row>
    <row r="747" spans="20:24">
      <c r="T747" s="63" t="s">
        <v>1942</v>
      </c>
      <c r="U747" s="63" t="s">
        <v>1758</v>
      </c>
      <c r="V747" s="63" t="s">
        <v>1793</v>
      </c>
      <c r="W747" s="63" t="s">
        <v>1855</v>
      </c>
      <c r="X747" s="62" t="s">
        <v>1932</v>
      </c>
    </row>
    <row r="748" spans="20:24">
      <c r="T748" s="63" t="s">
        <v>2025</v>
      </c>
      <c r="U748" s="63" t="s">
        <v>1739</v>
      </c>
      <c r="V748" s="63" t="s">
        <v>1772</v>
      </c>
      <c r="W748" s="63" t="s">
        <v>1813</v>
      </c>
      <c r="X748" s="62" t="s">
        <v>1932</v>
      </c>
    </row>
    <row r="749" spans="20:24">
      <c r="T749" s="63" t="s">
        <v>2046</v>
      </c>
      <c r="U749" s="63" t="s">
        <v>1758</v>
      </c>
      <c r="V749" s="63" t="s">
        <v>1790</v>
      </c>
      <c r="W749" s="63" t="s">
        <v>1847</v>
      </c>
      <c r="X749" s="62" t="s">
        <v>1932</v>
      </c>
    </row>
    <row r="750" spans="20:24">
      <c r="T750" s="63" t="s">
        <v>1942</v>
      </c>
      <c r="U750" s="63" t="s">
        <v>1758</v>
      </c>
      <c r="V750" s="63" t="s">
        <v>1793</v>
      </c>
      <c r="W750" s="63" t="s">
        <v>1855</v>
      </c>
      <c r="X750" s="62" t="s">
        <v>1932</v>
      </c>
    </row>
    <row r="751" spans="20:24">
      <c r="T751" s="63" t="s">
        <v>2046</v>
      </c>
      <c r="U751" s="63" t="s">
        <v>1758</v>
      </c>
      <c r="V751" s="63" t="s">
        <v>1790</v>
      </c>
      <c r="W751" s="63" t="s">
        <v>1847</v>
      </c>
      <c r="X751" s="62" t="s">
        <v>1932</v>
      </c>
    </row>
    <row r="752" spans="20:24">
      <c r="T752" s="63" t="s">
        <v>1938</v>
      </c>
      <c r="U752" s="63" t="s">
        <v>1758</v>
      </c>
      <c r="V752" s="63" t="s">
        <v>1790</v>
      </c>
      <c r="W752" s="63" t="s">
        <v>1847</v>
      </c>
      <c r="X752" s="62" t="s">
        <v>1932</v>
      </c>
    </row>
    <row r="753" spans="20:24">
      <c r="T753" s="63" t="s">
        <v>1944</v>
      </c>
      <c r="U753" s="63" t="s">
        <v>1758</v>
      </c>
      <c r="V753" s="63" t="s">
        <v>1790</v>
      </c>
      <c r="W753" s="63" t="s">
        <v>1847</v>
      </c>
      <c r="X753" s="62" t="s">
        <v>1932</v>
      </c>
    </row>
    <row r="754" spans="20:24">
      <c r="T754" s="63" t="s">
        <v>1943</v>
      </c>
      <c r="U754" s="63" t="s">
        <v>1739</v>
      </c>
      <c r="V754" s="63" t="s">
        <v>1768</v>
      </c>
      <c r="W754" s="63" t="s">
        <v>1788</v>
      </c>
      <c r="X754" s="62" t="s">
        <v>1932</v>
      </c>
    </row>
    <row r="755" spans="20:24">
      <c r="T755" s="63" t="s">
        <v>2126</v>
      </c>
      <c r="U755" s="63" t="s">
        <v>1739</v>
      </c>
      <c r="V755" s="63" t="s">
        <v>1778</v>
      </c>
      <c r="W755" s="63" t="s">
        <v>1832</v>
      </c>
      <c r="X755" s="62" t="s">
        <v>1932</v>
      </c>
    </row>
    <row r="756" spans="20:24">
      <c r="T756" s="63" t="s">
        <v>2001</v>
      </c>
      <c r="U756" s="63" t="s">
        <v>1739</v>
      </c>
      <c r="V756" s="63" t="s">
        <v>1784</v>
      </c>
      <c r="W756" s="63" t="s">
        <v>1838</v>
      </c>
      <c r="X756" s="62" t="s">
        <v>1932</v>
      </c>
    </row>
    <row r="757" spans="20:24">
      <c r="T757" s="63" t="s">
        <v>2046</v>
      </c>
      <c r="U757" s="63" t="s">
        <v>1758</v>
      </c>
      <c r="V757" s="63" t="s">
        <v>1790</v>
      </c>
      <c r="W757" s="63" t="s">
        <v>1847</v>
      </c>
      <c r="X757" s="62" t="s">
        <v>1932</v>
      </c>
    </row>
    <row r="758" spans="20:24">
      <c r="T758" s="63" t="s">
        <v>2046</v>
      </c>
      <c r="U758" s="63" t="s">
        <v>1758</v>
      </c>
      <c r="V758" s="63" t="s">
        <v>1790</v>
      </c>
      <c r="W758" s="63" t="s">
        <v>1847</v>
      </c>
      <c r="X758" s="62" t="s">
        <v>1932</v>
      </c>
    </row>
    <row r="759" spans="20:24">
      <c r="T759" s="63" t="s">
        <v>2046</v>
      </c>
      <c r="U759" s="63" t="s">
        <v>1758</v>
      </c>
      <c r="V759" s="63" t="s">
        <v>1790</v>
      </c>
      <c r="W759" s="63" t="s">
        <v>1847</v>
      </c>
      <c r="X759" s="62" t="s">
        <v>1932</v>
      </c>
    </row>
    <row r="760" spans="20:24">
      <c r="T760" s="63" t="s">
        <v>2063</v>
      </c>
      <c r="U760" s="63" t="s">
        <v>1758</v>
      </c>
      <c r="V760" s="63" t="s">
        <v>1790</v>
      </c>
      <c r="W760" s="63" t="s">
        <v>1847</v>
      </c>
      <c r="X760" s="63" t="s">
        <v>1893</v>
      </c>
    </row>
    <row r="761" spans="20:24">
      <c r="T761" s="63" t="s">
        <v>1944</v>
      </c>
      <c r="U761" s="63" t="s">
        <v>1758</v>
      </c>
      <c r="V761" s="63" t="s">
        <v>1790</v>
      </c>
      <c r="W761" s="63" t="s">
        <v>1847</v>
      </c>
      <c r="X761" s="62" t="s">
        <v>1932</v>
      </c>
    </row>
    <row r="762" spans="20:24">
      <c r="T762" s="63" t="s">
        <v>2046</v>
      </c>
      <c r="U762" s="63" t="s">
        <v>1758</v>
      </c>
      <c r="V762" s="63" t="s">
        <v>1790</v>
      </c>
      <c r="W762" s="63" t="s">
        <v>1847</v>
      </c>
      <c r="X762" s="62" t="s">
        <v>1932</v>
      </c>
    </row>
    <row r="763" spans="20:24">
      <c r="T763" s="63" t="s">
        <v>2052</v>
      </c>
      <c r="U763" s="63" t="s">
        <v>1739</v>
      </c>
      <c r="V763" s="63" t="s">
        <v>1768</v>
      </c>
      <c r="W763" s="63" t="s">
        <v>1788</v>
      </c>
      <c r="X763" s="62" t="s">
        <v>1932</v>
      </c>
    </row>
    <row r="764" spans="20:24">
      <c r="T764" s="63" t="s">
        <v>1940</v>
      </c>
      <c r="U764" s="63" t="s">
        <v>1758</v>
      </c>
      <c r="V764" s="63" t="s">
        <v>1796</v>
      </c>
      <c r="W764" s="63" t="s">
        <v>1870</v>
      </c>
      <c r="X764" s="62" t="s">
        <v>1932</v>
      </c>
    </row>
    <row r="765" spans="20:24">
      <c r="T765" s="63" t="s">
        <v>2049</v>
      </c>
      <c r="U765" s="63" t="s">
        <v>1758</v>
      </c>
      <c r="V765" s="63" t="s">
        <v>1790</v>
      </c>
      <c r="W765" s="63" t="s">
        <v>1847</v>
      </c>
      <c r="X765" s="62" t="s">
        <v>1932</v>
      </c>
    </row>
    <row r="766" spans="20:24">
      <c r="T766" s="63" t="s">
        <v>2046</v>
      </c>
      <c r="U766" s="63" t="s">
        <v>1758</v>
      </c>
      <c r="V766" s="63" t="s">
        <v>1790</v>
      </c>
      <c r="W766" s="63" t="s">
        <v>1847</v>
      </c>
      <c r="X766" s="62" t="s">
        <v>1932</v>
      </c>
    </row>
    <row r="767" spans="20:24">
      <c r="T767" s="63" t="s">
        <v>2138</v>
      </c>
      <c r="U767" s="63" t="s">
        <v>1739</v>
      </c>
      <c r="V767" s="63" t="s">
        <v>1768</v>
      </c>
      <c r="W767" s="63" t="s">
        <v>1788</v>
      </c>
      <c r="X767" s="62" t="s">
        <v>1932</v>
      </c>
    </row>
    <row r="768" spans="20:24">
      <c r="T768" s="63" t="s">
        <v>2046</v>
      </c>
      <c r="U768" s="63" t="s">
        <v>1758</v>
      </c>
      <c r="V768" s="63" t="s">
        <v>1790</v>
      </c>
      <c r="W768" s="63" t="s">
        <v>1847</v>
      </c>
      <c r="X768" s="62" t="s">
        <v>1932</v>
      </c>
    </row>
    <row r="769" spans="20:24">
      <c r="T769" s="63" t="s">
        <v>2139</v>
      </c>
      <c r="U769" s="63" t="s">
        <v>1758</v>
      </c>
      <c r="V769" s="63" t="s">
        <v>1790</v>
      </c>
      <c r="W769" s="63" t="s">
        <v>1847</v>
      </c>
      <c r="X769" s="62" t="s">
        <v>1932</v>
      </c>
    </row>
    <row r="770" spans="20:24">
      <c r="T770" s="63" t="s">
        <v>2046</v>
      </c>
      <c r="U770" s="63" t="s">
        <v>1758</v>
      </c>
      <c r="V770" s="63" t="s">
        <v>1790</v>
      </c>
      <c r="W770" s="63" t="s">
        <v>1847</v>
      </c>
      <c r="X770" s="62" t="s">
        <v>1932</v>
      </c>
    </row>
    <row r="771" spans="20:24">
      <c r="T771" s="63" t="s">
        <v>2140</v>
      </c>
      <c r="U771" s="63" t="s">
        <v>1758</v>
      </c>
      <c r="V771" s="63" t="s">
        <v>1790</v>
      </c>
      <c r="W771" s="63" t="s">
        <v>1847</v>
      </c>
      <c r="X771" s="62" t="s">
        <v>1932</v>
      </c>
    </row>
    <row r="772" spans="20:24">
      <c r="T772" s="63" t="s">
        <v>2046</v>
      </c>
      <c r="U772" s="63" t="s">
        <v>1758</v>
      </c>
      <c r="V772" s="63" t="s">
        <v>1790</v>
      </c>
      <c r="W772" s="63" t="s">
        <v>1847</v>
      </c>
      <c r="X772" s="62" t="s">
        <v>1932</v>
      </c>
    </row>
    <row r="773" spans="20:24">
      <c r="T773" s="63" t="s">
        <v>1942</v>
      </c>
      <c r="U773" s="63" t="s">
        <v>1758</v>
      </c>
      <c r="V773" s="63" t="s">
        <v>1790</v>
      </c>
      <c r="W773" s="63" t="s">
        <v>1847</v>
      </c>
      <c r="X773" s="62" t="s">
        <v>1932</v>
      </c>
    </row>
    <row r="774" spans="20:24">
      <c r="T774" s="63" t="s">
        <v>2141</v>
      </c>
      <c r="U774" s="63" t="s">
        <v>1758</v>
      </c>
      <c r="V774" s="63" t="s">
        <v>1790</v>
      </c>
      <c r="W774" s="63" t="s">
        <v>1847</v>
      </c>
      <c r="X774" s="63" t="s">
        <v>1893</v>
      </c>
    </row>
    <row r="775" spans="20:24">
      <c r="T775" s="63" t="s">
        <v>2046</v>
      </c>
      <c r="U775" s="63" t="s">
        <v>1758</v>
      </c>
      <c r="V775" s="63" t="s">
        <v>1790</v>
      </c>
      <c r="W775" s="63" t="s">
        <v>1847</v>
      </c>
      <c r="X775" s="62" t="s">
        <v>1932</v>
      </c>
    </row>
    <row r="776" spans="20:24">
      <c r="T776" s="63" t="s">
        <v>2052</v>
      </c>
      <c r="U776" s="63" t="s">
        <v>1758</v>
      </c>
      <c r="V776" s="63" t="s">
        <v>1790</v>
      </c>
      <c r="W776" s="63" t="s">
        <v>1847</v>
      </c>
      <c r="X776" s="62" t="s">
        <v>1932</v>
      </c>
    </row>
    <row r="777" spans="20:24">
      <c r="T777" s="63" t="s">
        <v>1938</v>
      </c>
      <c r="U777" s="63" t="s">
        <v>1758</v>
      </c>
      <c r="V777" s="63" t="s">
        <v>1790</v>
      </c>
      <c r="W777" s="63" t="s">
        <v>1847</v>
      </c>
      <c r="X777" s="62" t="s">
        <v>1932</v>
      </c>
    </row>
    <row r="778" spans="20:24">
      <c r="T778" s="63" t="s">
        <v>1967</v>
      </c>
      <c r="U778" s="63" t="s">
        <v>1758</v>
      </c>
      <c r="V778" s="63" t="s">
        <v>1790</v>
      </c>
      <c r="W778" s="63" t="s">
        <v>1847</v>
      </c>
      <c r="X778" s="62" t="s">
        <v>1932</v>
      </c>
    </row>
    <row r="779" spans="20:24">
      <c r="T779" s="63" t="s">
        <v>2137</v>
      </c>
      <c r="U779" s="63" t="s">
        <v>1739</v>
      </c>
      <c r="V779" s="63" t="s">
        <v>1787</v>
      </c>
      <c r="W779" s="63" t="s">
        <v>1841</v>
      </c>
      <c r="X779" s="62" t="s">
        <v>1932</v>
      </c>
    </row>
    <row r="780" spans="20:24">
      <c r="T780" s="63" t="s">
        <v>1938</v>
      </c>
      <c r="U780" s="63" t="s">
        <v>1758</v>
      </c>
      <c r="V780" s="63" t="s">
        <v>1790</v>
      </c>
      <c r="W780" s="63" t="s">
        <v>1847</v>
      </c>
      <c r="X780" s="62" t="s">
        <v>1932</v>
      </c>
    </row>
    <row r="781" spans="20:24">
      <c r="T781" s="63" t="s">
        <v>2046</v>
      </c>
      <c r="U781" s="63" t="s">
        <v>1758</v>
      </c>
      <c r="V781" s="63" t="s">
        <v>1790</v>
      </c>
      <c r="W781" s="63" t="s">
        <v>1847</v>
      </c>
      <c r="X781" s="62" t="s">
        <v>1932</v>
      </c>
    </row>
    <row r="782" spans="20:24">
      <c r="T782" s="63" t="s">
        <v>2046</v>
      </c>
      <c r="U782" s="63" t="s">
        <v>1758</v>
      </c>
      <c r="V782" s="63" t="s">
        <v>1790</v>
      </c>
      <c r="W782" s="63" t="s">
        <v>1847</v>
      </c>
      <c r="X782" s="62" t="s">
        <v>1932</v>
      </c>
    </row>
    <row r="783" spans="20:24">
      <c r="T783" s="63" t="s">
        <v>2026</v>
      </c>
      <c r="U783" s="63" t="s">
        <v>1739</v>
      </c>
      <c r="V783" s="63" t="s">
        <v>1768</v>
      </c>
      <c r="W783" s="63" t="s">
        <v>1779</v>
      </c>
      <c r="X783" s="62" t="s">
        <v>1932</v>
      </c>
    </row>
    <row r="784" spans="20:24">
      <c r="T784" s="63" t="s">
        <v>1967</v>
      </c>
      <c r="U784" s="63" t="s">
        <v>1758</v>
      </c>
      <c r="V784" s="63" t="s">
        <v>1793</v>
      </c>
      <c r="W784" s="63" t="s">
        <v>1855</v>
      </c>
      <c r="X784" s="62" t="s">
        <v>1932</v>
      </c>
    </row>
    <row r="785" spans="20:24">
      <c r="T785" s="63" t="s">
        <v>2007</v>
      </c>
      <c r="U785" s="63" t="s">
        <v>1758</v>
      </c>
      <c r="V785" s="63" t="s">
        <v>1790</v>
      </c>
      <c r="W785" s="63" t="s">
        <v>1847</v>
      </c>
      <c r="X785" s="62" t="s">
        <v>1932</v>
      </c>
    </row>
    <row r="786" spans="20:24">
      <c r="T786" s="63" t="s">
        <v>2046</v>
      </c>
      <c r="U786" s="63" t="s">
        <v>1758</v>
      </c>
      <c r="V786" s="63" t="s">
        <v>1790</v>
      </c>
      <c r="W786" s="63" t="s">
        <v>1847</v>
      </c>
      <c r="X786" s="62" t="s">
        <v>1932</v>
      </c>
    </row>
    <row r="787" spans="20:24">
      <c r="T787" s="63" t="s">
        <v>2046</v>
      </c>
      <c r="U787" s="63" t="s">
        <v>1758</v>
      </c>
      <c r="V787" s="63" t="s">
        <v>1790</v>
      </c>
      <c r="W787" s="63" t="s">
        <v>1847</v>
      </c>
      <c r="X787" s="62" t="s">
        <v>1932</v>
      </c>
    </row>
    <row r="788" spans="20:24">
      <c r="T788" s="63" t="s">
        <v>2046</v>
      </c>
      <c r="U788" s="63" t="s">
        <v>1758</v>
      </c>
      <c r="V788" s="63" t="s">
        <v>1790</v>
      </c>
      <c r="W788" s="63" t="s">
        <v>1847</v>
      </c>
      <c r="X788" s="62" t="s">
        <v>1932</v>
      </c>
    </row>
    <row r="789" spans="20:24">
      <c r="T789" s="63" t="s">
        <v>2016</v>
      </c>
      <c r="U789" s="63" t="s">
        <v>1758</v>
      </c>
      <c r="V789" s="63" t="s">
        <v>1790</v>
      </c>
      <c r="W789" s="63" t="s">
        <v>1847</v>
      </c>
      <c r="X789" s="62" t="s">
        <v>1932</v>
      </c>
    </row>
    <row r="790" spans="20:24">
      <c r="T790" s="63" t="s">
        <v>2142</v>
      </c>
      <c r="U790" s="63" t="s">
        <v>1739</v>
      </c>
      <c r="V790" s="63" t="s">
        <v>1772</v>
      </c>
      <c r="W790" s="63" t="s">
        <v>1810</v>
      </c>
      <c r="X790" s="62" t="s">
        <v>1932</v>
      </c>
    </row>
    <row r="791" spans="20:24">
      <c r="T791" s="63" t="s">
        <v>2046</v>
      </c>
      <c r="U791" s="63" t="s">
        <v>1758</v>
      </c>
      <c r="V791" s="63" t="s">
        <v>1790</v>
      </c>
      <c r="W791" s="63" t="s">
        <v>1847</v>
      </c>
      <c r="X791" s="62" t="s">
        <v>1932</v>
      </c>
    </row>
    <row r="792" spans="20:24">
      <c r="T792" s="63" t="s">
        <v>1944</v>
      </c>
      <c r="U792" s="63" t="s">
        <v>1758</v>
      </c>
      <c r="V792" s="63" t="s">
        <v>1790</v>
      </c>
      <c r="W792" s="63" t="s">
        <v>1847</v>
      </c>
      <c r="X792" s="62" t="s">
        <v>1932</v>
      </c>
    </row>
    <row r="793" spans="20:24">
      <c r="T793" s="63" t="s">
        <v>2027</v>
      </c>
      <c r="U793" s="63" t="s">
        <v>1758</v>
      </c>
      <c r="V793" s="63" t="s">
        <v>1790</v>
      </c>
      <c r="W793" s="63" t="s">
        <v>1847</v>
      </c>
      <c r="X793" s="62" t="s">
        <v>1932</v>
      </c>
    </row>
    <row r="794" spans="20:24">
      <c r="T794" s="63" t="s">
        <v>2028</v>
      </c>
      <c r="U794" s="63" t="s">
        <v>1739</v>
      </c>
      <c r="V794" s="63" t="s">
        <v>1741</v>
      </c>
      <c r="W794" s="63" t="s">
        <v>1773</v>
      </c>
      <c r="X794" s="63" t="s">
        <v>1774</v>
      </c>
    </row>
    <row r="795" spans="20:24">
      <c r="T795" s="63" t="s">
        <v>2046</v>
      </c>
      <c r="U795" s="63" t="s">
        <v>1758</v>
      </c>
      <c r="V795" s="63" t="s">
        <v>1790</v>
      </c>
      <c r="W795" s="63" t="s">
        <v>1847</v>
      </c>
      <c r="X795" s="62" t="s">
        <v>1932</v>
      </c>
    </row>
    <row r="796" spans="20:24">
      <c r="T796" s="63" t="s">
        <v>2046</v>
      </c>
      <c r="U796" s="63" t="s">
        <v>1758</v>
      </c>
      <c r="V796" s="63" t="s">
        <v>1790</v>
      </c>
      <c r="W796" s="63" t="s">
        <v>1847</v>
      </c>
      <c r="X796" s="62" t="s">
        <v>1932</v>
      </c>
    </row>
    <row r="797" spans="20:24">
      <c r="T797" s="63" t="s">
        <v>2046</v>
      </c>
      <c r="U797" s="63" t="s">
        <v>1758</v>
      </c>
      <c r="V797" s="63" t="s">
        <v>1790</v>
      </c>
      <c r="W797" s="63" t="s">
        <v>1847</v>
      </c>
      <c r="X797" s="62" t="s">
        <v>1932</v>
      </c>
    </row>
    <row r="798" spans="20:24">
      <c r="T798" s="63" t="s">
        <v>2094</v>
      </c>
      <c r="U798" s="63" t="s">
        <v>1739</v>
      </c>
      <c r="V798" s="63" t="s">
        <v>1772</v>
      </c>
      <c r="W798" s="63" t="s">
        <v>1813</v>
      </c>
      <c r="X798" s="62" t="s">
        <v>1932</v>
      </c>
    </row>
    <row r="799" spans="20:24">
      <c r="T799" s="63" t="s">
        <v>1944</v>
      </c>
      <c r="U799" s="63" t="s">
        <v>1758</v>
      </c>
      <c r="V799" s="63" t="s">
        <v>1790</v>
      </c>
      <c r="W799" s="63" t="s">
        <v>1847</v>
      </c>
      <c r="X799" s="62" t="s">
        <v>1932</v>
      </c>
    </row>
    <row r="800" spans="20:24">
      <c r="T800" s="63" t="s">
        <v>2046</v>
      </c>
      <c r="U800" s="63" t="s">
        <v>1758</v>
      </c>
      <c r="V800" s="63" t="s">
        <v>1790</v>
      </c>
      <c r="W800" s="63" t="s">
        <v>1847</v>
      </c>
      <c r="X800" s="62" t="s">
        <v>1932</v>
      </c>
    </row>
    <row r="801" spans="20:24">
      <c r="T801" s="63" t="s">
        <v>2046</v>
      </c>
      <c r="U801" s="63" t="s">
        <v>1758</v>
      </c>
      <c r="V801" s="63" t="s">
        <v>1790</v>
      </c>
      <c r="W801" s="63" t="s">
        <v>1847</v>
      </c>
      <c r="X801" s="62" t="s">
        <v>1932</v>
      </c>
    </row>
    <row r="802" spans="20:24">
      <c r="T802" s="63" t="s">
        <v>2052</v>
      </c>
      <c r="U802" s="63" t="s">
        <v>1739</v>
      </c>
      <c r="V802" s="63" t="s">
        <v>1768</v>
      </c>
      <c r="W802" s="63" t="s">
        <v>1788</v>
      </c>
      <c r="X802" s="62" t="s">
        <v>1932</v>
      </c>
    </row>
    <row r="803" spans="20:24">
      <c r="T803" s="63" t="s">
        <v>2046</v>
      </c>
      <c r="U803" s="63" t="s">
        <v>1758</v>
      </c>
      <c r="V803" s="63" t="s">
        <v>1790</v>
      </c>
      <c r="W803" s="63" t="s">
        <v>1847</v>
      </c>
      <c r="X803" s="62" t="s">
        <v>1932</v>
      </c>
    </row>
    <row r="804" spans="20:24">
      <c r="T804" s="63" t="s">
        <v>2046</v>
      </c>
      <c r="U804" s="63" t="s">
        <v>1758</v>
      </c>
      <c r="V804" s="63" t="s">
        <v>1790</v>
      </c>
      <c r="W804" s="63" t="s">
        <v>1847</v>
      </c>
      <c r="X804" s="62" t="s">
        <v>1932</v>
      </c>
    </row>
    <row r="805" spans="20:24">
      <c r="T805" s="63" t="s">
        <v>2046</v>
      </c>
      <c r="U805" s="63" t="s">
        <v>1758</v>
      </c>
      <c r="V805" s="63" t="s">
        <v>1790</v>
      </c>
      <c r="W805" s="63" t="s">
        <v>1847</v>
      </c>
      <c r="X805" s="62" t="s">
        <v>1932</v>
      </c>
    </row>
    <row r="806" spans="20:24">
      <c r="T806" s="63" t="s">
        <v>1944</v>
      </c>
      <c r="U806" s="63" t="s">
        <v>1758</v>
      </c>
      <c r="V806" s="63" t="s">
        <v>1790</v>
      </c>
      <c r="W806" s="63" t="s">
        <v>1847</v>
      </c>
      <c r="X806" s="62" t="s">
        <v>1932</v>
      </c>
    </row>
    <row r="807" spans="20:24">
      <c r="T807" s="63" t="s">
        <v>2016</v>
      </c>
      <c r="U807" s="63" t="s">
        <v>1758</v>
      </c>
      <c r="V807" s="63" t="s">
        <v>1790</v>
      </c>
      <c r="W807" s="63" t="s">
        <v>1847</v>
      </c>
      <c r="X807" s="62" t="s">
        <v>1932</v>
      </c>
    </row>
    <row r="808" spans="20:24">
      <c r="T808" s="63" t="s">
        <v>2046</v>
      </c>
      <c r="U808" s="63" t="s">
        <v>1758</v>
      </c>
      <c r="V808" s="63" t="s">
        <v>1790</v>
      </c>
      <c r="W808" s="63" t="s">
        <v>1847</v>
      </c>
      <c r="X808" s="62" t="s">
        <v>1932</v>
      </c>
    </row>
    <row r="809" spans="20:24">
      <c r="T809" s="63" t="s">
        <v>2046</v>
      </c>
      <c r="U809" s="63" t="s">
        <v>1758</v>
      </c>
      <c r="V809" s="63" t="s">
        <v>1790</v>
      </c>
      <c r="W809" s="63" t="s">
        <v>1847</v>
      </c>
      <c r="X809" s="62" t="s">
        <v>1932</v>
      </c>
    </row>
    <row r="810" spans="20:24">
      <c r="T810" s="63" t="s">
        <v>2046</v>
      </c>
      <c r="U810" s="63" t="s">
        <v>1758</v>
      </c>
      <c r="V810" s="63" t="s">
        <v>1790</v>
      </c>
      <c r="W810" s="63" t="s">
        <v>1847</v>
      </c>
      <c r="X810" s="62" t="s">
        <v>1932</v>
      </c>
    </row>
    <row r="811" spans="20:24">
      <c r="T811" s="63" t="s">
        <v>2046</v>
      </c>
      <c r="U811" s="63" t="s">
        <v>1758</v>
      </c>
      <c r="V811" s="63" t="s">
        <v>1790</v>
      </c>
      <c r="W811" s="63" t="s">
        <v>1847</v>
      </c>
      <c r="X811" s="62" t="s">
        <v>1932</v>
      </c>
    </row>
    <row r="812" spans="20:24">
      <c r="T812" s="63" t="s">
        <v>2046</v>
      </c>
      <c r="U812" s="63" t="s">
        <v>1758</v>
      </c>
      <c r="V812" s="63" t="s">
        <v>1790</v>
      </c>
      <c r="W812" s="63" t="s">
        <v>1847</v>
      </c>
      <c r="X812" s="62" t="s">
        <v>1932</v>
      </c>
    </row>
    <row r="813" spans="20:24">
      <c r="T813" s="63" t="s">
        <v>1938</v>
      </c>
      <c r="U813" s="63" t="s">
        <v>1758</v>
      </c>
      <c r="V813" s="63" t="s">
        <v>1790</v>
      </c>
      <c r="W813" s="63" t="s">
        <v>1847</v>
      </c>
      <c r="X813" s="62" t="s">
        <v>1932</v>
      </c>
    </row>
    <row r="814" spans="20:24">
      <c r="T814" s="63" t="s">
        <v>1944</v>
      </c>
      <c r="U814" s="63" t="s">
        <v>1758</v>
      </c>
      <c r="V814" s="63" t="s">
        <v>1790</v>
      </c>
      <c r="W814" s="63" t="s">
        <v>1847</v>
      </c>
      <c r="X814" s="62" t="s">
        <v>1932</v>
      </c>
    </row>
    <row r="815" spans="20:24">
      <c r="T815" s="63" t="s">
        <v>2046</v>
      </c>
      <c r="U815" s="63" t="s">
        <v>1758</v>
      </c>
      <c r="V815" s="63" t="s">
        <v>1790</v>
      </c>
      <c r="W815" s="63" t="s">
        <v>1847</v>
      </c>
      <c r="X815" s="62" t="s">
        <v>1932</v>
      </c>
    </row>
    <row r="816" spans="20:24">
      <c r="T816" s="63" t="s">
        <v>2140</v>
      </c>
      <c r="U816" s="63" t="s">
        <v>1758</v>
      </c>
      <c r="V816" s="63" t="s">
        <v>1790</v>
      </c>
      <c r="W816" s="63" t="s">
        <v>1847</v>
      </c>
      <c r="X816" s="62" t="s">
        <v>1932</v>
      </c>
    </row>
    <row r="817" spans="20:24">
      <c r="T817" s="63" t="s">
        <v>2046</v>
      </c>
      <c r="U817" s="63" t="s">
        <v>1758</v>
      </c>
      <c r="V817" s="63" t="s">
        <v>1790</v>
      </c>
      <c r="W817" s="63" t="s">
        <v>1847</v>
      </c>
      <c r="X817" s="62" t="s">
        <v>1932</v>
      </c>
    </row>
    <row r="818" spans="20:24">
      <c r="T818" s="63" t="s">
        <v>1938</v>
      </c>
      <c r="U818" s="63" t="s">
        <v>1758</v>
      </c>
      <c r="V818" s="63" t="s">
        <v>1790</v>
      </c>
      <c r="W818" s="63" t="s">
        <v>1847</v>
      </c>
      <c r="X818" s="62" t="s">
        <v>1932</v>
      </c>
    </row>
    <row r="819" spans="20:24">
      <c r="T819" s="63" t="s">
        <v>1980</v>
      </c>
      <c r="U819" s="63" t="s">
        <v>1739</v>
      </c>
      <c r="V819" s="63" t="s">
        <v>1768</v>
      </c>
      <c r="W819" s="63" t="s">
        <v>1779</v>
      </c>
      <c r="X819" s="62" t="s">
        <v>1932</v>
      </c>
    </row>
    <row r="820" spans="20:24">
      <c r="T820" s="63" t="s">
        <v>2046</v>
      </c>
      <c r="U820" s="63" t="s">
        <v>1758</v>
      </c>
      <c r="V820" s="63" t="s">
        <v>1790</v>
      </c>
      <c r="W820" s="63" t="s">
        <v>1847</v>
      </c>
      <c r="X820" s="62" t="s">
        <v>1932</v>
      </c>
    </row>
    <row r="821" spans="20:24">
      <c r="T821" s="63" t="s">
        <v>1944</v>
      </c>
      <c r="U821" s="63" t="s">
        <v>1758</v>
      </c>
      <c r="V821" s="63" t="s">
        <v>1790</v>
      </c>
      <c r="W821" s="63" t="s">
        <v>1847</v>
      </c>
      <c r="X821" s="62" t="s">
        <v>1932</v>
      </c>
    </row>
    <row r="822" spans="20:24">
      <c r="T822" s="63" t="s">
        <v>2046</v>
      </c>
      <c r="U822" s="63" t="s">
        <v>1758</v>
      </c>
      <c r="V822" s="63" t="s">
        <v>1790</v>
      </c>
      <c r="W822" s="63" t="s">
        <v>1847</v>
      </c>
      <c r="X822" s="62" t="s">
        <v>1932</v>
      </c>
    </row>
    <row r="823" spans="20:24">
      <c r="T823" s="63" t="s">
        <v>1944</v>
      </c>
      <c r="U823" s="63" t="s">
        <v>1758</v>
      </c>
      <c r="V823" s="63" t="s">
        <v>1790</v>
      </c>
      <c r="W823" s="63" t="s">
        <v>1847</v>
      </c>
      <c r="X823" s="62" t="s">
        <v>1932</v>
      </c>
    </row>
    <row r="824" spans="20:24">
      <c r="T824" s="63" t="s">
        <v>1942</v>
      </c>
      <c r="U824" s="63" t="s">
        <v>1758</v>
      </c>
      <c r="V824" s="63" t="s">
        <v>1790</v>
      </c>
      <c r="W824" s="63" t="s">
        <v>1847</v>
      </c>
      <c r="X824" s="62" t="s">
        <v>1932</v>
      </c>
    </row>
    <row r="825" spans="20:24">
      <c r="T825" s="63" t="s">
        <v>1938</v>
      </c>
      <c r="U825" s="63" t="s">
        <v>1758</v>
      </c>
      <c r="V825" s="63" t="s">
        <v>1790</v>
      </c>
      <c r="W825" s="63" t="s">
        <v>1847</v>
      </c>
      <c r="X825" s="62" t="s">
        <v>1932</v>
      </c>
    </row>
    <row r="826" spans="20:24">
      <c r="T826" s="63" t="s">
        <v>2046</v>
      </c>
      <c r="U826" s="63" t="s">
        <v>1758</v>
      </c>
      <c r="V826" s="63" t="s">
        <v>1790</v>
      </c>
      <c r="W826" s="63" t="s">
        <v>1847</v>
      </c>
      <c r="X826" s="62" t="s">
        <v>1932</v>
      </c>
    </row>
    <row r="827" spans="20:24">
      <c r="T827" s="63" t="s">
        <v>2029</v>
      </c>
      <c r="U827" s="63" t="s">
        <v>1739</v>
      </c>
      <c r="V827" s="63" t="s">
        <v>1772</v>
      </c>
      <c r="W827" s="63" t="s">
        <v>1813</v>
      </c>
      <c r="X827" s="62" t="s">
        <v>1932</v>
      </c>
    </row>
    <row r="828" spans="20:24">
      <c r="T828" s="63" t="s">
        <v>2046</v>
      </c>
      <c r="U828" s="63" t="s">
        <v>1758</v>
      </c>
      <c r="V828" s="63" t="s">
        <v>1790</v>
      </c>
      <c r="W828" s="63" t="s">
        <v>1847</v>
      </c>
      <c r="X828" s="62" t="s">
        <v>1932</v>
      </c>
    </row>
    <row r="829" spans="20:24">
      <c r="T829" s="63" t="s">
        <v>2046</v>
      </c>
      <c r="U829" s="63" t="s">
        <v>1758</v>
      </c>
      <c r="V829" s="63" t="s">
        <v>1790</v>
      </c>
      <c r="W829" s="63" t="s">
        <v>1847</v>
      </c>
      <c r="X829" s="62" t="s">
        <v>1932</v>
      </c>
    </row>
    <row r="830" spans="20:24">
      <c r="T830" s="63" t="s">
        <v>2046</v>
      </c>
      <c r="U830" s="63" t="s">
        <v>1758</v>
      </c>
      <c r="V830" s="63" t="s">
        <v>1790</v>
      </c>
      <c r="W830" s="63" t="s">
        <v>1847</v>
      </c>
      <c r="X830" s="62" t="s">
        <v>1932</v>
      </c>
    </row>
    <row r="831" spans="20:24">
      <c r="T831" s="63" t="s">
        <v>2030</v>
      </c>
      <c r="U831" s="63" t="s">
        <v>1739</v>
      </c>
      <c r="V831" s="63" t="s">
        <v>1778</v>
      </c>
      <c r="W831" s="63" t="s">
        <v>1832</v>
      </c>
      <c r="X831" s="62" t="s">
        <v>1932</v>
      </c>
    </row>
    <row r="832" spans="20:24">
      <c r="T832" s="63" t="s">
        <v>2009</v>
      </c>
      <c r="U832" s="63" t="s">
        <v>1739</v>
      </c>
      <c r="V832" s="63" t="s">
        <v>1784</v>
      </c>
      <c r="W832" s="63" t="s">
        <v>1838</v>
      </c>
      <c r="X832" s="62" t="s">
        <v>1932</v>
      </c>
    </row>
    <row r="833" spans="20:24">
      <c r="T833" s="63" t="s">
        <v>2008</v>
      </c>
      <c r="U833" s="63" t="s">
        <v>1739</v>
      </c>
      <c r="V833" s="63" t="s">
        <v>1784</v>
      </c>
      <c r="W833" s="63" t="s">
        <v>1838</v>
      </c>
      <c r="X833" s="62" t="s">
        <v>1932</v>
      </c>
    </row>
    <row r="834" spans="20:24">
      <c r="T834" s="63" t="s">
        <v>2115</v>
      </c>
      <c r="U834" s="63" t="s">
        <v>1739</v>
      </c>
      <c r="V834" s="63" t="s">
        <v>1784</v>
      </c>
      <c r="W834" s="63" t="s">
        <v>1838</v>
      </c>
      <c r="X834" s="62" t="s">
        <v>1932</v>
      </c>
    </row>
    <row r="835" spans="20:24">
      <c r="T835" s="63" t="s">
        <v>2115</v>
      </c>
      <c r="U835" s="63" t="s">
        <v>1739</v>
      </c>
      <c r="V835" s="63" t="s">
        <v>1784</v>
      </c>
      <c r="W835" s="63" t="s">
        <v>1838</v>
      </c>
      <c r="X835" s="62" t="s">
        <v>1932</v>
      </c>
    </row>
    <row r="836" spans="20:24">
      <c r="T836" s="63" t="s">
        <v>2115</v>
      </c>
      <c r="U836" s="63" t="s">
        <v>1739</v>
      </c>
      <c r="V836" s="63" t="s">
        <v>1784</v>
      </c>
      <c r="W836" s="63" t="s">
        <v>1838</v>
      </c>
      <c r="X836" s="62" t="s">
        <v>1932</v>
      </c>
    </row>
    <row r="837" spans="20:24">
      <c r="T837" s="63" t="s">
        <v>2114</v>
      </c>
      <c r="U837" s="63" t="s">
        <v>1739</v>
      </c>
      <c r="V837" s="63" t="s">
        <v>1784</v>
      </c>
      <c r="W837" s="63" t="s">
        <v>1838</v>
      </c>
      <c r="X837" s="62" t="s">
        <v>1932</v>
      </c>
    </row>
    <row r="838" spans="20:24">
      <c r="T838" s="63" t="s">
        <v>2046</v>
      </c>
      <c r="U838" s="63" t="s">
        <v>1758</v>
      </c>
      <c r="V838" s="63" t="s">
        <v>1790</v>
      </c>
      <c r="W838" s="63" t="s">
        <v>1847</v>
      </c>
      <c r="X838" s="62" t="s">
        <v>1932</v>
      </c>
    </row>
    <row r="839" spans="20:24">
      <c r="T839" s="63" t="s">
        <v>2046</v>
      </c>
      <c r="U839" s="63" t="s">
        <v>1758</v>
      </c>
      <c r="V839" s="63" t="s">
        <v>1790</v>
      </c>
      <c r="W839" s="63" t="s">
        <v>1847</v>
      </c>
      <c r="X839" s="62" t="s">
        <v>1932</v>
      </c>
    </row>
    <row r="840" spans="20:24">
      <c r="T840" s="63" t="s">
        <v>2046</v>
      </c>
      <c r="U840" s="63" t="s">
        <v>1758</v>
      </c>
      <c r="V840" s="63" t="s">
        <v>1790</v>
      </c>
      <c r="W840" s="63" t="s">
        <v>1847</v>
      </c>
      <c r="X840" s="62" t="s">
        <v>1932</v>
      </c>
    </row>
    <row r="841" spans="20:24">
      <c r="T841" s="63" t="s">
        <v>2046</v>
      </c>
      <c r="U841" s="63" t="s">
        <v>1758</v>
      </c>
      <c r="V841" s="63" t="s">
        <v>1790</v>
      </c>
      <c r="W841" s="63" t="s">
        <v>1847</v>
      </c>
      <c r="X841" s="62" t="s">
        <v>1932</v>
      </c>
    </row>
    <row r="842" spans="20:24">
      <c r="T842" s="63" t="s">
        <v>2031</v>
      </c>
      <c r="U842" s="63" t="s">
        <v>1758</v>
      </c>
      <c r="V842" s="63" t="s">
        <v>1790</v>
      </c>
      <c r="W842" s="63" t="s">
        <v>1847</v>
      </c>
      <c r="X842" s="63" t="s">
        <v>1893</v>
      </c>
    </row>
    <row r="843" spans="20:24">
      <c r="T843" s="63" t="s">
        <v>2032</v>
      </c>
      <c r="U843" s="63" t="s">
        <v>1739</v>
      </c>
      <c r="V843" s="63" t="s">
        <v>1776</v>
      </c>
      <c r="W843" s="63" t="s">
        <v>1830</v>
      </c>
      <c r="X843" s="62" t="s">
        <v>1932</v>
      </c>
    </row>
    <row r="844" spans="20:24">
      <c r="T844" s="63" t="s">
        <v>1942</v>
      </c>
      <c r="U844" s="63" t="s">
        <v>1758</v>
      </c>
      <c r="V844" s="63" t="s">
        <v>1793</v>
      </c>
      <c r="W844" s="63" t="s">
        <v>1855</v>
      </c>
      <c r="X844" s="62" t="s">
        <v>1932</v>
      </c>
    </row>
    <row r="845" spans="20:24">
      <c r="T845" s="63" t="s">
        <v>2046</v>
      </c>
      <c r="U845" s="63" t="s">
        <v>1758</v>
      </c>
      <c r="V845" s="63" t="s">
        <v>1790</v>
      </c>
      <c r="W845" s="63" t="s">
        <v>1847</v>
      </c>
      <c r="X845" s="62" t="s">
        <v>1932</v>
      </c>
    </row>
    <row r="846" spans="20:24">
      <c r="T846" s="63" t="s">
        <v>2046</v>
      </c>
      <c r="U846" s="63" t="s">
        <v>1758</v>
      </c>
      <c r="V846" s="63" t="s">
        <v>1790</v>
      </c>
      <c r="W846" s="63" t="s">
        <v>1847</v>
      </c>
      <c r="X846" s="62" t="s">
        <v>1932</v>
      </c>
    </row>
    <row r="847" spans="20:24">
      <c r="T847" s="63" t="s">
        <v>1944</v>
      </c>
      <c r="U847" s="63" t="s">
        <v>1758</v>
      </c>
      <c r="V847" s="63" t="s">
        <v>1790</v>
      </c>
      <c r="W847" s="63" t="s">
        <v>1847</v>
      </c>
      <c r="X847" s="62" t="s">
        <v>1932</v>
      </c>
    </row>
    <row r="848" spans="20:24">
      <c r="T848" s="63" t="s">
        <v>2046</v>
      </c>
      <c r="U848" s="63" t="s">
        <v>1758</v>
      </c>
      <c r="V848" s="63" t="s">
        <v>1790</v>
      </c>
      <c r="W848" s="63" t="s">
        <v>1847</v>
      </c>
      <c r="X848" s="62" t="s">
        <v>1932</v>
      </c>
    </row>
    <row r="849" spans="20:24">
      <c r="T849" s="63" t="s">
        <v>2046</v>
      </c>
      <c r="U849" s="63" t="s">
        <v>1758</v>
      </c>
      <c r="V849" s="63" t="s">
        <v>1790</v>
      </c>
      <c r="W849" s="63" t="s">
        <v>1847</v>
      </c>
      <c r="X849" s="62" t="s">
        <v>1932</v>
      </c>
    </row>
    <row r="850" spans="20:24">
      <c r="T850" s="63" t="s">
        <v>2052</v>
      </c>
      <c r="U850" s="63" t="s">
        <v>1739</v>
      </c>
      <c r="V850" s="63" t="s">
        <v>1768</v>
      </c>
      <c r="W850" s="63" t="s">
        <v>1788</v>
      </c>
      <c r="X850" s="62" t="s">
        <v>1932</v>
      </c>
    </row>
    <row r="851" spans="20:24">
      <c r="T851" s="63" t="s">
        <v>2046</v>
      </c>
      <c r="U851" s="63" t="s">
        <v>1758</v>
      </c>
      <c r="V851" s="63" t="s">
        <v>1790</v>
      </c>
      <c r="W851" s="63" t="s">
        <v>1847</v>
      </c>
      <c r="X851" s="62" t="s">
        <v>1932</v>
      </c>
    </row>
    <row r="852" spans="20:24">
      <c r="T852" s="63" t="s">
        <v>2016</v>
      </c>
      <c r="U852" s="63" t="s">
        <v>1758</v>
      </c>
      <c r="V852" s="63" t="s">
        <v>1790</v>
      </c>
      <c r="W852" s="63" t="s">
        <v>1847</v>
      </c>
      <c r="X852" s="62" t="s">
        <v>1932</v>
      </c>
    </row>
    <row r="853" spans="20:24">
      <c r="T853" s="63" t="s">
        <v>1938</v>
      </c>
      <c r="U853" s="63" t="s">
        <v>1758</v>
      </c>
      <c r="V853" s="63" t="s">
        <v>1790</v>
      </c>
      <c r="W853" s="63" t="s">
        <v>1847</v>
      </c>
      <c r="X853" s="62" t="s">
        <v>1932</v>
      </c>
    </row>
    <row r="854" spans="20:24">
      <c r="T854" s="63" t="s">
        <v>2009</v>
      </c>
      <c r="U854" s="63" t="s">
        <v>1739</v>
      </c>
      <c r="V854" s="63" t="s">
        <v>1784</v>
      </c>
      <c r="W854" s="63" t="s">
        <v>1838</v>
      </c>
      <c r="X854" s="62" t="s">
        <v>1932</v>
      </c>
    </row>
    <row r="855" spans="20:24">
      <c r="T855" s="63" t="s">
        <v>2046</v>
      </c>
      <c r="U855" s="63" t="s">
        <v>1758</v>
      </c>
      <c r="V855" s="63" t="s">
        <v>1790</v>
      </c>
      <c r="W855" s="63" t="s">
        <v>1847</v>
      </c>
      <c r="X855" s="62" t="s">
        <v>1932</v>
      </c>
    </row>
    <row r="856" spans="20:24">
      <c r="T856" s="63" t="s">
        <v>2046</v>
      </c>
      <c r="U856" s="63" t="s">
        <v>1758</v>
      </c>
      <c r="V856" s="63" t="s">
        <v>1790</v>
      </c>
      <c r="W856" s="63" t="s">
        <v>1847</v>
      </c>
      <c r="X856" s="62" t="s">
        <v>1932</v>
      </c>
    </row>
    <row r="857" spans="20:24">
      <c r="T857" s="63" t="s">
        <v>2130</v>
      </c>
      <c r="U857" s="63" t="s">
        <v>1758</v>
      </c>
      <c r="V857" s="63" t="s">
        <v>1796</v>
      </c>
      <c r="W857" s="63" t="s">
        <v>1870</v>
      </c>
      <c r="X857" s="62" t="s">
        <v>1932</v>
      </c>
    </row>
    <row r="858" spans="20:24">
      <c r="T858" s="63" t="s">
        <v>1938</v>
      </c>
      <c r="U858" s="63" t="s">
        <v>1758</v>
      </c>
      <c r="V858" s="63" t="s">
        <v>1790</v>
      </c>
      <c r="W858" s="63" t="s">
        <v>1847</v>
      </c>
      <c r="X858" s="62" t="s">
        <v>1932</v>
      </c>
    </row>
    <row r="859" spans="20:24">
      <c r="T859" s="63" t="s">
        <v>1971</v>
      </c>
      <c r="U859" s="63" t="s">
        <v>1758</v>
      </c>
      <c r="V859" s="63" t="s">
        <v>1793</v>
      </c>
      <c r="W859" s="63" t="s">
        <v>1855</v>
      </c>
      <c r="X859" s="62" t="s">
        <v>1932</v>
      </c>
    </row>
    <row r="860" spans="20:24">
      <c r="T860" s="63" t="s">
        <v>2143</v>
      </c>
      <c r="U860" s="63" t="s">
        <v>1758</v>
      </c>
      <c r="V860" s="63" t="s">
        <v>1790</v>
      </c>
      <c r="W860" s="63" t="s">
        <v>1847</v>
      </c>
      <c r="X860" s="62" t="s">
        <v>1932</v>
      </c>
    </row>
    <row r="861" spans="20:24">
      <c r="T861" s="63" t="s">
        <v>2052</v>
      </c>
      <c r="U861" s="63" t="s">
        <v>1758</v>
      </c>
      <c r="V861" s="63" t="s">
        <v>1790</v>
      </c>
      <c r="W861" s="63" t="s">
        <v>1847</v>
      </c>
      <c r="X861" s="62" t="s">
        <v>1932</v>
      </c>
    </row>
    <row r="862" spans="20:24">
      <c r="T862" s="63" t="s">
        <v>1965</v>
      </c>
      <c r="U862" s="63" t="s">
        <v>1758</v>
      </c>
      <c r="V862" s="63" t="s">
        <v>1793</v>
      </c>
      <c r="W862" s="63" t="s">
        <v>1855</v>
      </c>
      <c r="X862" s="62" t="s">
        <v>1932</v>
      </c>
    </row>
    <row r="863" spans="20:24">
      <c r="T863" s="63" t="s">
        <v>2046</v>
      </c>
      <c r="U863" s="63" t="s">
        <v>1758</v>
      </c>
      <c r="V863" s="63" t="s">
        <v>1790</v>
      </c>
      <c r="W863" s="63" t="s">
        <v>1847</v>
      </c>
      <c r="X863" s="62" t="s">
        <v>1932</v>
      </c>
    </row>
    <row r="864" spans="20:24">
      <c r="T864" s="63" t="s">
        <v>2046</v>
      </c>
      <c r="U864" s="63" t="s">
        <v>1758</v>
      </c>
      <c r="V864" s="63" t="s">
        <v>1790</v>
      </c>
      <c r="W864" s="63" t="s">
        <v>1847</v>
      </c>
      <c r="X864" s="62" t="s">
        <v>1932</v>
      </c>
    </row>
    <row r="865" spans="20:24">
      <c r="T865" s="63" t="s">
        <v>2130</v>
      </c>
      <c r="U865" s="63" t="s">
        <v>1758</v>
      </c>
      <c r="V865" s="63" t="s">
        <v>1790</v>
      </c>
      <c r="W865" s="63" t="s">
        <v>1847</v>
      </c>
      <c r="X865" s="63" t="s">
        <v>1891</v>
      </c>
    </row>
    <row r="866" spans="20:24">
      <c r="T866" s="63" t="s">
        <v>2033</v>
      </c>
      <c r="U866" s="63" t="s">
        <v>1758</v>
      </c>
      <c r="V866" s="63" t="s">
        <v>1793</v>
      </c>
      <c r="W866" s="63" t="s">
        <v>1855</v>
      </c>
      <c r="X866" s="62" t="s">
        <v>1932</v>
      </c>
    </row>
    <row r="867" spans="20:24">
      <c r="T867" s="63" t="s">
        <v>2046</v>
      </c>
      <c r="U867" s="63" t="s">
        <v>1758</v>
      </c>
      <c r="V867" s="63" t="s">
        <v>1790</v>
      </c>
      <c r="W867" s="63" t="s">
        <v>1847</v>
      </c>
      <c r="X867" s="63" t="s">
        <v>1891</v>
      </c>
    </row>
    <row r="868" spans="20:24">
      <c r="T868" s="63" t="s">
        <v>2072</v>
      </c>
      <c r="U868" s="63" t="s">
        <v>1739</v>
      </c>
      <c r="V868" s="63" t="s">
        <v>1768</v>
      </c>
      <c r="W868" s="63" t="s">
        <v>1794</v>
      </c>
      <c r="X868" s="62" t="s">
        <v>1932</v>
      </c>
    </row>
    <row r="869" spans="20:24">
      <c r="T869" s="63" t="s">
        <v>2034</v>
      </c>
      <c r="U869" s="63" t="s">
        <v>1739</v>
      </c>
      <c r="V869" s="63" t="s">
        <v>1787</v>
      </c>
      <c r="W869" s="63" t="s">
        <v>1845</v>
      </c>
      <c r="X869" s="62" t="s">
        <v>1932</v>
      </c>
    </row>
    <row r="870" spans="20:24">
      <c r="T870" s="63" t="s">
        <v>1944</v>
      </c>
      <c r="U870" s="63" t="s">
        <v>1758</v>
      </c>
      <c r="V870" s="63" t="s">
        <v>1790</v>
      </c>
      <c r="W870" s="63" t="s">
        <v>1847</v>
      </c>
      <c r="X870" s="62" t="s">
        <v>1932</v>
      </c>
    </row>
    <row r="871" spans="20:24">
      <c r="T871" s="63" t="s">
        <v>2144</v>
      </c>
      <c r="U871" s="63" t="s">
        <v>1758</v>
      </c>
      <c r="V871" s="63" t="s">
        <v>1793</v>
      </c>
      <c r="W871" s="63" t="s">
        <v>1850</v>
      </c>
      <c r="X871" s="62" t="s">
        <v>1932</v>
      </c>
    </row>
    <row r="872" spans="20:24">
      <c r="T872" s="63" t="s">
        <v>1957</v>
      </c>
      <c r="U872" s="63" t="s">
        <v>1758</v>
      </c>
      <c r="V872" s="63" t="s">
        <v>1790</v>
      </c>
      <c r="W872" s="63" t="s">
        <v>1848</v>
      </c>
      <c r="X872" s="63" t="s">
        <v>1893</v>
      </c>
    </row>
    <row r="873" spans="20:24">
      <c r="T873" s="63" t="s">
        <v>2046</v>
      </c>
      <c r="U873" s="63" t="s">
        <v>1758</v>
      </c>
      <c r="V873" s="63" t="s">
        <v>1790</v>
      </c>
      <c r="W873" s="63" t="s">
        <v>1847</v>
      </c>
      <c r="X873" s="63" t="s">
        <v>1891</v>
      </c>
    </row>
    <row r="874" spans="20:24">
      <c r="T874" s="63" t="s">
        <v>2145</v>
      </c>
      <c r="U874" s="63" t="s">
        <v>1739</v>
      </c>
      <c r="V874" s="63" t="s">
        <v>1772</v>
      </c>
      <c r="W874" s="63" t="s">
        <v>1810</v>
      </c>
      <c r="X874" s="62" t="s">
        <v>1932</v>
      </c>
    </row>
    <row r="875" spans="20:24">
      <c r="T875" s="63" t="s">
        <v>1938</v>
      </c>
      <c r="U875" s="63" t="s">
        <v>1758</v>
      </c>
      <c r="V875" s="63" t="s">
        <v>1790</v>
      </c>
      <c r="W875" s="63" t="s">
        <v>1847</v>
      </c>
      <c r="X875" s="63" t="s">
        <v>1891</v>
      </c>
    </row>
    <row r="876" spans="20:24">
      <c r="T876" s="63" t="s">
        <v>2046</v>
      </c>
      <c r="U876" s="63" t="s">
        <v>1758</v>
      </c>
      <c r="V876" s="63" t="s">
        <v>1790</v>
      </c>
      <c r="W876" s="63" t="s">
        <v>1847</v>
      </c>
      <c r="X876" s="63" t="s">
        <v>1891</v>
      </c>
    </row>
    <row r="877" spans="20:24">
      <c r="T877" s="63" t="s">
        <v>1944</v>
      </c>
      <c r="U877" s="63" t="s">
        <v>1758</v>
      </c>
      <c r="V877" s="63" t="s">
        <v>1790</v>
      </c>
      <c r="W877" s="63" t="s">
        <v>1847</v>
      </c>
      <c r="X877" s="63" t="s">
        <v>1891</v>
      </c>
    </row>
    <row r="878" spans="20:24">
      <c r="T878" s="63" t="s">
        <v>1948</v>
      </c>
      <c r="U878" s="63" t="s">
        <v>1739</v>
      </c>
      <c r="V878" s="63" t="s">
        <v>1768</v>
      </c>
      <c r="W878" s="63" t="s">
        <v>1788</v>
      </c>
      <c r="X878" s="62" t="s">
        <v>1932</v>
      </c>
    </row>
    <row r="879" spans="20:24">
      <c r="T879" s="63" t="s">
        <v>2046</v>
      </c>
      <c r="U879" s="63" t="s">
        <v>1758</v>
      </c>
      <c r="V879" s="63" t="s">
        <v>2035</v>
      </c>
      <c r="W879" s="63" t="s">
        <v>1847</v>
      </c>
      <c r="X879" s="63" t="s">
        <v>1891</v>
      </c>
    </row>
    <row r="880" spans="20:24">
      <c r="T880" s="63" t="s">
        <v>2046</v>
      </c>
      <c r="U880" s="63" t="s">
        <v>1758</v>
      </c>
      <c r="V880" s="63" t="s">
        <v>1790</v>
      </c>
      <c r="W880" s="63" t="s">
        <v>1847</v>
      </c>
      <c r="X880" s="63" t="s">
        <v>1891</v>
      </c>
    </row>
    <row r="881" spans="20:24">
      <c r="T881" s="63" t="s">
        <v>2046</v>
      </c>
      <c r="U881" s="63" t="s">
        <v>1758</v>
      </c>
      <c r="V881" s="63" t="s">
        <v>1790</v>
      </c>
      <c r="W881" s="63" t="s">
        <v>1847</v>
      </c>
      <c r="X881" s="63" t="s">
        <v>1891</v>
      </c>
    </row>
    <row r="882" spans="20:24">
      <c r="T882" s="63" t="s">
        <v>1987</v>
      </c>
      <c r="U882" s="63" t="s">
        <v>1739</v>
      </c>
      <c r="V882" s="63" t="s">
        <v>1763</v>
      </c>
      <c r="W882" s="63" t="s">
        <v>1769</v>
      </c>
      <c r="X882" s="62" t="s">
        <v>1932</v>
      </c>
    </row>
    <row r="883" spans="20:24">
      <c r="T883" s="63" t="s">
        <v>2130</v>
      </c>
      <c r="U883" s="63" t="s">
        <v>1758</v>
      </c>
      <c r="V883" s="63" t="s">
        <v>1790</v>
      </c>
      <c r="W883" s="63" t="s">
        <v>1848</v>
      </c>
      <c r="X883" s="63" t="s">
        <v>1891</v>
      </c>
    </row>
    <row r="884" spans="20:24">
      <c r="T884" s="63" t="s">
        <v>2046</v>
      </c>
      <c r="U884" s="63" t="s">
        <v>1758</v>
      </c>
      <c r="V884" s="63" t="s">
        <v>1790</v>
      </c>
      <c r="W884" s="63" t="s">
        <v>1847</v>
      </c>
      <c r="X884" s="63" t="s">
        <v>1891</v>
      </c>
    </row>
    <row r="885" spans="20:24">
      <c r="T885" s="63" t="s">
        <v>1944</v>
      </c>
      <c r="U885" s="63" t="s">
        <v>1758</v>
      </c>
      <c r="V885" s="63" t="s">
        <v>1790</v>
      </c>
      <c r="W885" s="63" t="s">
        <v>1847</v>
      </c>
      <c r="X885" s="63" t="s">
        <v>1891</v>
      </c>
    </row>
    <row r="886" spans="20:24">
      <c r="T886" s="63" t="s">
        <v>1944</v>
      </c>
      <c r="U886" s="63" t="s">
        <v>1758</v>
      </c>
      <c r="V886" s="63" t="s">
        <v>1790</v>
      </c>
      <c r="W886" s="63" t="s">
        <v>1847</v>
      </c>
      <c r="X886" s="63" t="s">
        <v>1891</v>
      </c>
    </row>
    <row r="887" spans="20:24">
      <c r="T887" s="63" t="s">
        <v>2046</v>
      </c>
      <c r="U887" s="63" t="s">
        <v>1758</v>
      </c>
      <c r="V887" s="63" t="s">
        <v>1790</v>
      </c>
      <c r="W887" s="63" t="s">
        <v>1847</v>
      </c>
      <c r="X887" s="63" t="s">
        <v>1891</v>
      </c>
    </row>
    <row r="888" spans="20:24">
      <c r="T888" s="63" t="s">
        <v>2137</v>
      </c>
      <c r="U888" s="63" t="s">
        <v>1739</v>
      </c>
      <c r="V888" s="63" t="s">
        <v>1787</v>
      </c>
      <c r="W888" s="63" t="s">
        <v>1841</v>
      </c>
      <c r="X888" s="62" t="s">
        <v>1932</v>
      </c>
    </row>
    <row r="889" spans="20:24">
      <c r="T889" s="63" t="s">
        <v>2094</v>
      </c>
      <c r="U889" s="63" t="s">
        <v>1739</v>
      </c>
      <c r="V889" s="63" t="s">
        <v>1772</v>
      </c>
      <c r="W889" s="63" t="s">
        <v>1813</v>
      </c>
      <c r="X889" s="62" t="s">
        <v>1932</v>
      </c>
    </row>
    <row r="890" spans="20:24">
      <c r="T890" s="63" t="s">
        <v>1971</v>
      </c>
      <c r="U890" s="63" t="s">
        <v>1758</v>
      </c>
      <c r="V890" s="63" t="s">
        <v>1793</v>
      </c>
      <c r="W890" s="63" t="s">
        <v>1855</v>
      </c>
      <c r="X890" s="62" t="s">
        <v>1932</v>
      </c>
    </row>
    <row r="891" spans="20:24">
      <c r="T891" s="63" t="s">
        <v>1971</v>
      </c>
      <c r="U891" s="63" t="s">
        <v>1758</v>
      </c>
      <c r="V891" s="63" t="s">
        <v>1793</v>
      </c>
      <c r="W891" s="63" t="s">
        <v>1855</v>
      </c>
      <c r="X891" s="62" t="s">
        <v>1932</v>
      </c>
    </row>
    <row r="892" spans="20:24">
      <c r="T892" s="63" t="s">
        <v>2046</v>
      </c>
      <c r="U892" s="63" t="s">
        <v>1758</v>
      </c>
      <c r="V892" s="63" t="s">
        <v>1790</v>
      </c>
      <c r="W892" s="63" t="s">
        <v>1847</v>
      </c>
      <c r="X892" s="63" t="s">
        <v>1891</v>
      </c>
    </row>
    <row r="893" spans="20:24">
      <c r="T893" s="63" t="s">
        <v>2146</v>
      </c>
      <c r="U893" s="63" t="s">
        <v>1739</v>
      </c>
      <c r="V893" s="63" t="s">
        <v>1770</v>
      </c>
      <c r="W893" s="63" t="s">
        <v>1804</v>
      </c>
      <c r="X893" s="62" t="s">
        <v>1932</v>
      </c>
    </row>
    <row r="894" spans="20:24">
      <c r="T894" s="63" t="s">
        <v>1944</v>
      </c>
      <c r="U894" s="63" t="s">
        <v>1758</v>
      </c>
      <c r="V894" s="63" t="s">
        <v>1790</v>
      </c>
      <c r="W894" s="63" t="s">
        <v>1847</v>
      </c>
      <c r="X894" s="63" t="s">
        <v>1891</v>
      </c>
    </row>
    <row r="895" spans="20:24">
      <c r="T895" s="63" t="s">
        <v>2052</v>
      </c>
      <c r="U895" s="63" t="s">
        <v>1758</v>
      </c>
      <c r="V895" s="63" t="s">
        <v>1790</v>
      </c>
      <c r="W895" s="63" t="s">
        <v>1847</v>
      </c>
      <c r="X895" s="62" t="s">
        <v>1932</v>
      </c>
    </row>
    <row r="896" spans="20:24">
      <c r="T896" s="63" t="s">
        <v>1944</v>
      </c>
      <c r="U896" s="63" t="s">
        <v>1758</v>
      </c>
      <c r="V896" s="63" t="s">
        <v>1790</v>
      </c>
      <c r="W896" s="63" t="s">
        <v>1847</v>
      </c>
      <c r="X896" s="63" t="s">
        <v>1891</v>
      </c>
    </row>
    <row r="897" spans="20:24">
      <c r="T897" s="63" t="s">
        <v>2036</v>
      </c>
      <c r="U897" s="63" t="s">
        <v>1758</v>
      </c>
      <c r="V897" s="63" t="s">
        <v>1790</v>
      </c>
      <c r="W897" s="63" t="s">
        <v>1847</v>
      </c>
      <c r="X897" s="63" t="s">
        <v>1893</v>
      </c>
    </row>
    <row r="898" spans="20:24">
      <c r="T898" s="63" t="s">
        <v>2130</v>
      </c>
      <c r="U898" s="63" t="s">
        <v>1758</v>
      </c>
      <c r="V898" s="63" t="s">
        <v>1790</v>
      </c>
      <c r="W898" s="63" t="s">
        <v>1848</v>
      </c>
      <c r="X898" s="63" t="s">
        <v>1891</v>
      </c>
    </row>
    <row r="899" spans="20:24">
      <c r="T899" s="63" t="s">
        <v>2052</v>
      </c>
      <c r="U899" s="63" t="s">
        <v>1758</v>
      </c>
      <c r="V899" s="63" t="s">
        <v>1790</v>
      </c>
      <c r="W899" s="63" t="s">
        <v>1847</v>
      </c>
      <c r="X899" s="63" t="s">
        <v>1891</v>
      </c>
    </row>
    <row r="900" spans="20:24">
      <c r="T900" s="63" t="s">
        <v>1944</v>
      </c>
      <c r="U900" s="63" t="s">
        <v>1758</v>
      </c>
      <c r="V900" s="63" t="s">
        <v>1790</v>
      </c>
      <c r="W900" s="63" t="s">
        <v>1847</v>
      </c>
      <c r="X900" s="63" t="s">
        <v>1891</v>
      </c>
    </row>
    <row r="901" spans="20:24">
      <c r="T901" s="63" t="s">
        <v>2052</v>
      </c>
      <c r="U901" s="63" t="s">
        <v>1758</v>
      </c>
      <c r="V901" s="63" t="s">
        <v>1790</v>
      </c>
      <c r="W901" s="63" t="s">
        <v>1847</v>
      </c>
      <c r="X901" s="63" t="s">
        <v>1891</v>
      </c>
    </row>
    <row r="902" spans="20:24">
      <c r="T902" s="63" t="s">
        <v>2049</v>
      </c>
      <c r="U902" s="63" t="s">
        <v>1758</v>
      </c>
      <c r="V902" s="63" t="s">
        <v>1790</v>
      </c>
      <c r="W902" s="63" t="s">
        <v>1847</v>
      </c>
      <c r="X902" s="63" t="s">
        <v>1891</v>
      </c>
    </row>
    <row r="903" spans="20:24">
      <c r="T903" s="63" t="s">
        <v>2046</v>
      </c>
      <c r="U903" s="63" t="s">
        <v>1758</v>
      </c>
      <c r="V903" s="63" t="s">
        <v>1790</v>
      </c>
      <c r="W903" s="63" t="s">
        <v>1847</v>
      </c>
      <c r="X903" s="63" t="s">
        <v>1891</v>
      </c>
    </row>
    <row r="904" spans="20:24">
      <c r="T904" s="63" t="s">
        <v>2147</v>
      </c>
      <c r="U904" s="63" t="s">
        <v>1739</v>
      </c>
      <c r="V904" s="63" t="s">
        <v>1768</v>
      </c>
      <c r="W904" s="63" t="s">
        <v>1788</v>
      </c>
      <c r="X904" s="62" t="s">
        <v>1932</v>
      </c>
    </row>
    <row r="905" spans="20:24">
      <c r="T905" s="63" t="s">
        <v>2046</v>
      </c>
      <c r="U905" s="63" t="s">
        <v>1758</v>
      </c>
      <c r="V905" s="63" t="s">
        <v>2035</v>
      </c>
      <c r="W905" s="63" t="s">
        <v>1847</v>
      </c>
      <c r="X905" s="63" t="s">
        <v>1891</v>
      </c>
    </row>
    <row r="906" spans="20:24">
      <c r="T906" s="63" t="s">
        <v>1961</v>
      </c>
      <c r="U906" s="63" t="s">
        <v>1739</v>
      </c>
      <c r="V906" s="63" t="s">
        <v>1768</v>
      </c>
      <c r="W906" s="63" t="s">
        <v>1791</v>
      </c>
      <c r="X906" s="63" t="s">
        <v>1827</v>
      </c>
    </row>
    <row r="907" spans="20:24">
      <c r="T907" s="63" t="s">
        <v>1953</v>
      </c>
      <c r="U907" s="63" t="s">
        <v>1739</v>
      </c>
      <c r="V907" s="63" t="s">
        <v>1772</v>
      </c>
      <c r="W907" s="63" t="s">
        <v>1813</v>
      </c>
      <c r="X907" s="62" t="s">
        <v>1932</v>
      </c>
    </row>
    <row r="908" spans="20:24">
      <c r="T908" s="63" t="s">
        <v>1943</v>
      </c>
      <c r="U908" s="63" t="s">
        <v>1739</v>
      </c>
      <c r="V908" s="63" t="s">
        <v>1768</v>
      </c>
      <c r="W908" s="63" t="s">
        <v>1788</v>
      </c>
      <c r="X908" s="62" t="s">
        <v>1932</v>
      </c>
    </row>
    <row r="909" spans="20:24">
      <c r="T909" s="63" t="s">
        <v>1938</v>
      </c>
      <c r="U909" s="63" t="s">
        <v>1758</v>
      </c>
      <c r="V909" s="63" t="s">
        <v>2035</v>
      </c>
      <c r="W909" s="63" t="s">
        <v>1847</v>
      </c>
      <c r="X909" s="63" t="s">
        <v>1891</v>
      </c>
    </row>
    <row r="910" spans="20:24">
      <c r="T910" s="63" t="s">
        <v>1944</v>
      </c>
      <c r="U910" s="63" t="s">
        <v>1758</v>
      </c>
      <c r="V910" s="63" t="s">
        <v>1790</v>
      </c>
      <c r="W910" s="63" t="s">
        <v>1847</v>
      </c>
      <c r="X910" s="63" t="s">
        <v>1891</v>
      </c>
    </row>
    <row r="911" spans="20:24">
      <c r="T911" s="63" t="s">
        <v>2046</v>
      </c>
      <c r="U911" s="63" t="s">
        <v>1758</v>
      </c>
      <c r="V911" s="63" t="s">
        <v>1790</v>
      </c>
      <c r="W911" s="63" t="s">
        <v>1847</v>
      </c>
      <c r="X911" s="63" t="s">
        <v>1891</v>
      </c>
    </row>
    <row r="912" spans="20:24">
      <c r="T912" s="63" t="s">
        <v>1944</v>
      </c>
      <c r="U912" s="63" t="s">
        <v>1758</v>
      </c>
      <c r="V912" s="63" t="s">
        <v>1790</v>
      </c>
      <c r="W912" s="63" t="s">
        <v>1847</v>
      </c>
      <c r="X912" s="63" t="s">
        <v>1891</v>
      </c>
    </row>
    <row r="913" spans="20:24">
      <c r="T913" s="63" t="s">
        <v>1942</v>
      </c>
      <c r="U913" s="63" t="s">
        <v>1758</v>
      </c>
      <c r="V913" s="63" t="s">
        <v>1790</v>
      </c>
      <c r="W913" s="63" t="s">
        <v>1847</v>
      </c>
      <c r="X913" s="62" t="s">
        <v>1932</v>
      </c>
    </row>
    <row r="914" spans="20:24">
      <c r="T914" s="63" t="s">
        <v>1938</v>
      </c>
      <c r="U914" s="63" t="s">
        <v>1758</v>
      </c>
      <c r="V914" s="63" t="s">
        <v>1790</v>
      </c>
      <c r="W914" s="63" t="s">
        <v>1847</v>
      </c>
      <c r="X914" s="63" t="s">
        <v>1891</v>
      </c>
    </row>
    <row r="915" spans="20:24">
      <c r="T915" s="63" t="s">
        <v>1942</v>
      </c>
      <c r="U915" s="63" t="s">
        <v>1758</v>
      </c>
      <c r="V915" s="63" t="s">
        <v>1790</v>
      </c>
      <c r="W915" s="63" t="s">
        <v>1847</v>
      </c>
      <c r="X915" s="63" t="s">
        <v>1891</v>
      </c>
    </row>
    <row r="916" spans="20:24">
      <c r="T916" s="63" t="s">
        <v>2110</v>
      </c>
      <c r="U916" s="63" t="s">
        <v>1739</v>
      </c>
      <c r="V916" s="63" t="s">
        <v>1784</v>
      </c>
      <c r="W916" s="63" t="s">
        <v>1838</v>
      </c>
      <c r="X916" s="62" t="s">
        <v>1932</v>
      </c>
    </row>
    <row r="917" spans="20:24">
      <c r="T917" s="63" t="s">
        <v>2046</v>
      </c>
      <c r="U917" s="63" t="s">
        <v>1758</v>
      </c>
      <c r="V917" s="63" t="s">
        <v>1790</v>
      </c>
      <c r="W917" s="63" t="s">
        <v>1847</v>
      </c>
      <c r="X917" s="63" t="s">
        <v>1891</v>
      </c>
    </row>
    <row r="918" spans="20:24">
      <c r="T918" s="63" t="s">
        <v>1938</v>
      </c>
      <c r="U918" s="63" t="s">
        <v>1758</v>
      </c>
      <c r="V918" s="63" t="s">
        <v>1790</v>
      </c>
      <c r="W918" s="63" t="s">
        <v>1847</v>
      </c>
      <c r="X918" s="63" t="s">
        <v>1891</v>
      </c>
    </row>
    <row r="919" spans="20:24">
      <c r="T919" s="63" t="s">
        <v>2148</v>
      </c>
      <c r="U919" s="63" t="s">
        <v>1758</v>
      </c>
      <c r="V919" s="63" t="s">
        <v>1790</v>
      </c>
      <c r="W919" s="63" t="s">
        <v>1847</v>
      </c>
      <c r="X919" s="63" t="s">
        <v>1891</v>
      </c>
    </row>
    <row r="920" spans="20:24">
      <c r="T920" s="63" t="s">
        <v>2149</v>
      </c>
      <c r="U920" s="63" t="s">
        <v>1758</v>
      </c>
      <c r="V920" s="63" t="s">
        <v>1790</v>
      </c>
      <c r="W920" s="63" t="s">
        <v>1847</v>
      </c>
      <c r="X920" s="63" t="s">
        <v>1891</v>
      </c>
    </row>
    <row r="921" spans="20:24">
      <c r="T921" s="63" t="s">
        <v>2046</v>
      </c>
      <c r="U921" s="63" t="s">
        <v>1758</v>
      </c>
      <c r="V921" s="63" t="s">
        <v>1790</v>
      </c>
      <c r="W921" s="63" t="s">
        <v>1847</v>
      </c>
      <c r="X921" s="63" t="s">
        <v>1891</v>
      </c>
    </row>
    <row r="922" spans="20:24">
      <c r="T922" s="63" t="s">
        <v>2047</v>
      </c>
      <c r="U922" s="63" t="s">
        <v>1758</v>
      </c>
      <c r="V922" s="63" t="s">
        <v>1790</v>
      </c>
      <c r="W922" s="63" t="s">
        <v>1848</v>
      </c>
      <c r="X922" s="63" t="s">
        <v>1891</v>
      </c>
    </row>
    <row r="923" spans="20:24">
      <c r="T923" s="63" t="s">
        <v>2094</v>
      </c>
      <c r="U923" s="63" t="s">
        <v>1739</v>
      </c>
      <c r="V923" s="63" t="s">
        <v>1772</v>
      </c>
      <c r="W923" s="63" t="s">
        <v>1813</v>
      </c>
      <c r="X923" s="62" t="s">
        <v>1932</v>
      </c>
    </row>
    <row r="924" spans="20:24">
      <c r="T924" s="63" t="s">
        <v>2037</v>
      </c>
      <c r="U924" s="63" t="s">
        <v>1739</v>
      </c>
      <c r="V924" s="63" t="s">
        <v>1784</v>
      </c>
      <c r="W924" s="63" t="s">
        <v>2038</v>
      </c>
      <c r="X924" s="62" t="s">
        <v>1932</v>
      </c>
    </row>
    <row r="925" spans="20:24">
      <c r="T925" s="63" t="s">
        <v>2046</v>
      </c>
      <c r="U925" s="63" t="s">
        <v>1758</v>
      </c>
      <c r="V925" s="63" t="s">
        <v>1790</v>
      </c>
      <c r="W925" s="63" t="s">
        <v>1847</v>
      </c>
      <c r="X925" s="63" t="s">
        <v>1891</v>
      </c>
    </row>
    <row r="926" spans="20:24">
      <c r="T926" s="63" t="s">
        <v>1938</v>
      </c>
      <c r="U926" s="63" t="s">
        <v>1758</v>
      </c>
      <c r="V926" s="63" t="s">
        <v>1790</v>
      </c>
      <c r="W926" s="63" t="s">
        <v>1847</v>
      </c>
      <c r="X926" s="62" t="s">
        <v>1932</v>
      </c>
    </row>
    <row r="927" spans="20:24">
      <c r="T927" s="63" t="s">
        <v>2052</v>
      </c>
      <c r="U927" s="63" t="s">
        <v>1758</v>
      </c>
      <c r="V927" s="63" t="s">
        <v>1790</v>
      </c>
      <c r="W927" s="63" t="s">
        <v>1847</v>
      </c>
      <c r="X927" s="62" t="s">
        <v>1932</v>
      </c>
    </row>
    <row r="928" spans="20:24">
      <c r="T928" s="63" t="s">
        <v>2039</v>
      </c>
      <c r="U928" s="63" t="s">
        <v>1739</v>
      </c>
      <c r="V928" s="63" t="s">
        <v>1768</v>
      </c>
      <c r="W928" s="63" t="s">
        <v>1785</v>
      </c>
      <c r="X928" s="63" t="s">
        <v>1808</v>
      </c>
    </row>
    <row r="929" spans="20:24">
      <c r="T929" s="63" t="s">
        <v>2047</v>
      </c>
      <c r="U929" s="63" t="s">
        <v>1758</v>
      </c>
      <c r="V929" s="63" t="s">
        <v>1790</v>
      </c>
      <c r="W929" s="63" t="s">
        <v>1847</v>
      </c>
      <c r="X929" s="62" t="s">
        <v>1932</v>
      </c>
    </row>
    <row r="930" spans="20:24">
      <c r="T930" s="63" t="s">
        <v>2150</v>
      </c>
      <c r="U930" s="63" t="s">
        <v>1758</v>
      </c>
      <c r="V930" s="63" t="s">
        <v>1790</v>
      </c>
      <c r="W930" s="63" t="s">
        <v>1847</v>
      </c>
      <c r="X930" s="63" t="s">
        <v>1893</v>
      </c>
    </row>
    <row r="931" spans="20:24">
      <c r="T931" s="63" t="s">
        <v>1942</v>
      </c>
      <c r="U931" s="63" t="s">
        <v>1758</v>
      </c>
      <c r="V931" s="63" t="s">
        <v>1790</v>
      </c>
      <c r="W931" s="63" t="s">
        <v>1847</v>
      </c>
      <c r="X931" s="62" t="s">
        <v>1932</v>
      </c>
    </row>
    <row r="932" spans="20:24">
      <c r="T932" s="63" t="s">
        <v>1944</v>
      </c>
      <c r="U932" s="63" t="s">
        <v>1758</v>
      </c>
      <c r="V932" s="63" t="s">
        <v>1790</v>
      </c>
      <c r="W932" s="63" t="s">
        <v>1847</v>
      </c>
      <c r="X932" s="63" t="s">
        <v>1891</v>
      </c>
    </row>
    <row r="933" spans="20:24">
      <c r="T933" s="63" t="s">
        <v>1944</v>
      </c>
      <c r="U933" s="63" t="s">
        <v>1758</v>
      </c>
      <c r="V933" s="63" t="s">
        <v>1790</v>
      </c>
      <c r="W933" s="63" t="s">
        <v>1847</v>
      </c>
      <c r="X933" s="63" t="s">
        <v>1891</v>
      </c>
    </row>
    <row r="934" spans="20:24">
      <c r="T934" s="63" t="s">
        <v>2046</v>
      </c>
      <c r="U934" s="63" t="s">
        <v>1758</v>
      </c>
      <c r="V934" s="63" t="s">
        <v>1790</v>
      </c>
      <c r="W934" s="63" t="s">
        <v>1847</v>
      </c>
      <c r="X934" s="63" t="s">
        <v>1891</v>
      </c>
    </row>
    <row r="935" spans="20:24">
      <c r="T935" s="63" t="s">
        <v>2040</v>
      </c>
      <c r="U935" s="63" t="s">
        <v>1758</v>
      </c>
      <c r="V935" s="63" t="s">
        <v>1790</v>
      </c>
      <c r="W935" s="63" t="s">
        <v>1848</v>
      </c>
      <c r="X935" s="63" t="s">
        <v>1892</v>
      </c>
    </row>
    <row r="936" spans="20:24">
      <c r="T936" s="63" t="s">
        <v>2046</v>
      </c>
      <c r="U936" s="63" t="s">
        <v>1758</v>
      </c>
      <c r="V936" s="63" t="s">
        <v>1790</v>
      </c>
      <c r="W936" s="63" t="s">
        <v>1847</v>
      </c>
      <c r="X936" s="63" t="s">
        <v>1891</v>
      </c>
    </row>
    <row r="937" spans="20:24">
      <c r="T937" s="63" t="s">
        <v>2046</v>
      </c>
      <c r="U937" s="63" t="s">
        <v>1758</v>
      </c>
      <c r="V937" s="63" t="s">
        <v>1790</v>
      </c>
      <c r="W937" s="63" t="s">
        <v>1847</v>
      </c>
      <c r="X937" s="63" t="s">
        <v>1891</v>
      </c>
    </row>
    <row r="938" spans="20:24">
      <c r="T938" s="63" t="s">
        <v>2002</v>
      </c>
      <c r="U938" s="63" t="s">
        <v>1758</v>
      </c>
      <c r="V938" s="63" t="s">
        <v>1793</v>
      </c>
      <c r="W938" s="63" t="s">
        <v>1855</v>
      </c>
      <c r="X938" s="62" t="s">
        <v>1932</v>
      </c>
    </row>
    <row r="939" spans="20:24">
      <c r="T939" s="63" t="s">
        <v>2028</v>
      </c>
      <c r="U939" s="63" t="s">
        <v>1739</v>
      </c>
      <c r="V939" s="63" t="s">
        <v>1793</v>
      </c>
      <c r="W939" s="63" t="s">
        <v>1773</v>
      </c>
      <c r="X939" s="63" t="s">
        <v>1774</v>
      </c>
    </row>
    <row r="940" spans="20:24">
      <c r="T940" s="63" t="s">
        <v>2046</v>
      </c>
      <c r="U940" s="63" t="s">
        <v>1758</v>
      </c>
      <c r="V940" s="63" t="s">
        <v>1793</v>
      </c>
      <c r="W940" s="63" t="s">
        <v>1847</v>
      </c>
      <c r="X940" s="62" t="s">
        <v>1932</v>
      </c>
    </row>
    <row r="941" spans="20:24">
      <c r="T941" s="63" t="s">
        <v>2052</v>
      </c>
      <c r="U941" s="63" t="s">
        <v>1758</v>
      </c>
      <c r="V941" s="63" t="s">
        <v>1793</v>
      </c>
      <c r="W941" s="63" t="s">
        <v>1847</v>
      </c>
      <c r="X941" s="62" t="s">
        <v>1932</v>
      </c>
    </row>
    <row r="942" spans="20:24">
      <c r="T942" s="63" t="s">
        <v>2014</v>
      </c>
      <c r="U942" s="63" t="s">
        <v>1739</v>
      </c>
      <c r="V942" s="63" t="s">
        <v>1772</v>
      </c>
      <c r="W942" s="63" t="s">
        <v>1820</v>
      </c>
      <c r="X942" s="62" t="s">
        <v>1932</v>
      </c>
    </row>
    <row r="943" spans="20:24">
      <c r="T943" s="63" t="s">
        <v>2046</v>
      </c>
      <c r="U943" s="63" t="s">
        <v>1758</v>
      </c>
      <c r="V943" s="63" t="s">
        <v>1790</v>
      </c>
      <c r="W943" s="63" t="s">
        <v>1847</v>
      </c>
      <c r="X943" s="63" t="s">
        <v>1891</v>
      </c>
    </row>
    <row r="944" spans="20:24">
      <c r="T944" s="63" t="s">
        <v>1944</v>
      </c>
      <c r="U944" s="63" t="s">
        <v>1758</v>
      </c>
      <c r="V944" s="63" t="s">
        <v>1790</v>
      </c>
      <c r="W944" s="63" t="s">
        <v>1847</v>
      </c>
      <c r="X944" s="63" t="s">
        <v>1891</v>
      </c>
    </row>
    <row r="945" spans="20:24">
      <c r="T945" s="63" t="s">
        <v>1943</v>
      </c>
      <c r="U945" s="63" t="s">
        <v>1758</v>
      </c>
      <c r="V945" s="63" t="s">
        <v>1790</v>
      </c>
      <c r="W945" s="63" t="s">
        <v>1847</v>
      </c>
      <c r="X945" s="63" t="s">
        <v>1892</v>
      </c>
    </row>
    <row r="946" spans="20:24">
      <c r="T946" s="63" t="s">
        <v>2046</v>
      </c>
      <c r="U946" s="63" t="s">
        <v>1758</v>
      </c>
      <c r="V946" s="63" t="s">
        <v>1790</v>
      </c>
      <c r="W946" s="63" t="s">
        <v>1847</v>
      </c>
      <c r="X946" s="63" t="s">
        <v>1891</v>
      </c>
    </row>
    <row r="947" spans="20:24">
      <c r="T947" s="63" t="s">
        <v>2017</v>
      </c>
      <c r="U947" s="63" t="s">
        <v>1758</v>
      </c>
      <c r="V947" s="63" t="s">
        <v>1790</v>
      </c>
      <c r="W947" s="63" t="s">
        <v>1847</v>
      </c>
      <c r="X947" s="63" t="s">
        <v>1891</v>
      </c>
    </row>
    <row r="948" spans="20:24">
      <c r="T948" s="63" t="s">
        <v>2041</v>
      </c>
      <c r="U948" s="63" t="s">
        <v>1758</v>
      </c>
      <c r="V948" s="63" t="s">
        <v>1790</v>
      </c>
      <c r="W948" s="63" t="s">
        <v>1847</v>
      </c>
      <c r="X948" s="63" t="s">
        <v>1891</v>
      </c>
    </row>
    <row r="949" spans="20:24">
      <c r="T949" s="63" t="s">
        <v>2046</v>
      </c>
      <c r="U949" s="63" t="s">
        <v>1758</v>
      </c>
      <c r="V949" s="63" t="s">
        <v>1790</v>
      </c>
      <c r="W949" s="63" t="s">
        <v>1847</v>
      </c>
      <c r="X949" s="63" t="s">
        <v>1891</v>
      </c>
    </row>
    <row r="950" spans="20:24">
      <c r="T950" s="63" t="s">
        <v>1967</v>
      </c>
      <c r="U950" s="63" t="s">
        <v>1758</v>
      </c>
      <c r="V950" s="63" t="s">
        <v>2035</v>
      </c>
      <c r="W950" s="63" t="s">
        <v>1847</v>
      </c>
      <c r="X950" s="63" t="s">
        <v>1891</v>
      </c>
    </row>
    <row r="951" spans="20:24">
      <c r="T951" s="63" t="s">
        <v>2149</v>
      </c>
      <c r="U951" s="63" t="s">
        <v>1758</v>
      </c>
      <c r="V951" s="63" t="s">
        <v>2035</v>
      </c>
      <c r="W951" s="63" t="s">
        <v>1847</v>
      </c>
      <c r="X951" s="63" t="s">
        <v>1891</v>
      </c>
    </row>
    <row r="952" spans="20:24">
      <c r="T952" s="63" t="s">
        <v>2042</v>
      </c>
      <c r="U952" s="63" t="s">
        <v>1758</v>
      </c>
      <c r="V952" s="63" t="s">
        <v>1793</v>
      </c>
      <c r="W952" s="63" t="s">
        <v>1854</v>
      </c>
      <c r="X952" s="62" t="s">
        <v>1932</v>
      </c>
    </row>
    <row r="953" spans="20:24">
      <c r="T953" s="63" t="s">
        <v>2046</v>
      </c>
      <c r="U953" s="63" t="s">
        <v>1758</v>
      </c>
      <c r="V953" s="63" t="s">
        <v>1790</v>
      </c>
      <c r="W953" s="63" t="s">
        <v>1847</v>
      </c>
      <c r="X953" s="63" t="s">
        <v>1891</v>
      </c>
    </row>
    <row r="954" spans="20:24">
      <c r="T954" s="63" t="s">
        <v>2046</v>
      </c>
      <c r="U954" s="63" t="s">
        <v>1758</v>
      </c>
      <c r="V954" s="63" t="s">
        <v>1790</v>
      </c>
      <c r="W954" s="63" t="s">
        <v>1847</v>
      </c>
      <c r="X954" s="63" t="s">
        <v>1891</v>
      </c>
    </row>
    <row r="955" spans="20:24">
      <c r="T955" s="63" t="s">
        <v>2046</v>
      </c>
      <c r="U955" s="63" t="s">
        <v>1758</v>
      </c>
      <c r="V955" s="63" t="s">
        <v>1790</v>
      </c>
      <c r="W955" s="63" t="s">
        <v>1847</v>
      </c>
      <c r="X955" s="63" t="s">
        <v>1891</v>
      </c>
    </row>
    <row r="956" spans="20:24">
      <c r="T956" s="63" t="s">
        <v>2046</v>
      </c>
      <c r="U956" s="63" t="s">
        <v>1758</v>
      </c>
      <c r="V956" s="63" t="s">
        <v>1790</v>
      </c>
      <c r="W956" s="63" t="s">
        <v>1847</v>
      </c>
      <c r="X956" s="63" t="s">
        <v>1891</v>
      </c>
    </row>
    <row r="957" spans="20:24">
      <c r="T957" s="63" t="s">
        <v>2149</v>
      </c>
      <c r="U957" s="63" t="s">
        <v>1758</v>
      </c>
      <c r="V957" s="63" t="s">
        <v>2035</v>
      </c>
      <c r="W957" s="63" t="s">
        <v>1847</v>
      </c>
      <c r="X957" s="63" t="s">
        <v>1891</v>
      </c>
    </row>
    <row r="958" spans="20:24">
      <c r="T958" s="63" t="s">
        <v>1942</v>
      </c>
      <c r="U958" s="63" t="s">
        <v>1758</v>
      </c>
      <c r="V958" s="63" t="s">
        <v>1793</v>
      </c>
      <c r="W958" s="63" t="s">
        <v>1855</v>
      </c>
      <c r="X958" s="62" t="s">
        <v>1932</v>
      </c>
    </row>
    <row r="959" spans="20:24">
      <c r="T959" s="63" t="s">
        <v>1967</v>
      </c>
      <c r="U959" s="63" t="s">
        <v>1758</v>
      </c>
      <c r="V959" s="63" t="s">
        <v>2035</v>
      </c>
      <c r="W959" s="63" t="s">
        <v>1847</v>
      </c>
      <c r="X959" s="63" t="s">
        <v>1891</v>
      </c>
    </row>
    <row r="960" spans="20:24">
      <c r="T960" s="63" t="s">
        <v>2046</v>
      </c>
      <c r="U960" s="63" t="s">
        <v>1758</v>
      </c>
      <c r="V960" s="63" t="s">
        <v>1790</v>
      </c>
      <c r="W960" s="63" t="s">
        <v>1847</v>
      </c>
      <c r="X960" s="63" t="s">
        <v>1891</v>
      </c>
    </row>
    <row r="961" spans="20:24">
      <c r="T961" s="63" t="s">
        <v>1950</v>
      </c>
      <c r="U961" s="63" t="s">
        <v>1758</v>
      </c>
      <c r="V961" s="63" t="s">
        <v>1790</v>
      </c>
      <c r="W961" s="63" t="s">
        <v>1847</v>
      </c>
      <c r="X961" s="63" t="s">
        <v>1891</v>
      </c>
    </row>
    <row r="962" spans="20:24">
      <c r="T962" s="63" t="s">
        <v>1953</v>
      </c>
      <c r="U962" s="63" t="s">
        <v>1739</v>
      </c>
      <c r="V962" s="63" t="s">
        <v>1772</v>
      </c>
      <c r="W962" s="63" t="s">
        <v>1813</v>
      </c>
      <c r="X962" s="62" t="s">
        <v>1932</v>
      </c>
    </row>
    <row r="963" spans="20:24">
      <c r="T963" s="63" t="s">
        <v>2049</v>
      </c>
      <c r="U963" s="63" t="s">
        <v>1758</v>
      </c>
      <c r="V963" s="63" t="s">
        <v>1790</v>
      </c>
      <c r="W963" s="63" t="s">
        <v>1847</v>
      </c>
      <c r="X963" s="62" t="s">
        <v>1932</v>
      </c>
    </row>
    <row r="964" spans="20:24">
      <c r="T964" s="63" t="s">
        <v>2137</v>
      </c>
      <c r="U964" s="63" t="s">
        <v>1739</v>
      </c>
      <c r="V964" s="63" t="s">
        <v>1787</v>
      </c>
      <c r="W964" s="63" t="s">
        <v>1841</v>
      </c>
      <c r="X964" s="62" t="s">
        <v>1932</v>
      </c>
    </row>
    <row r="965" spans="20:24">
      <c r="T965" s="63" t="s">
        <v>2051</v>
      </c>
      <c r="U965" s="63" t="s">
        <v>1739</v>
      </c>
      <c r="V965" s="63" t="s">
        <v>1768</v>
      </c>
      <c r="W965" s="63" t="s">
        <v>1788</v>
      </c>
      <c r="X965" s="62" t="s">
        <v>1932</v>
      </c>
    </row>
    <row r="966" spans="20:24">
      <c r="T966" s="63" t="s">
        <v>2046</v>
      </c>
      <c r="U966" s="63" t="s">
        <v>1758</v>
      </c>
      <c r="V966" s="63" t="s">
        <v>1790</v>
      </c>
      <c r="W966" s="63" t="s">
        <v>1847</v>
      </c>
      <c r="X966" s="63" t="s">
        <v>1891</v>
      </c>
    </row>
    <row r="967" spans="20:24">
      <c r="T967" s="63" t="s">
        <v>2042</v>
      </c>
      <c r="U967" s="63" t="s">
        <v>1758</v>
      </c>
      <c r="V967" s="63" t="s">
        <v>1793</v>
      </c>
      <c r="W967" s="63" t="s">
        <v>1854</v>
      </c>
      <c r="X967" s="62" t="s">
        <v>1932</v>
      </c>
    </row>
    <row r="968" spans="20:24">
      <c r="T968" s="63" t="s">
        <v>2151</v>
      </c>
      <c r="U968" s="63" t="s">
        <v>1739</v>
      </c>
      <c r="V968" s="63" t="s">
        <v>1763</v>
      </c>
      <c r="W968" s="63" t="s">
        <v>1771</v>
      </c>
      <c r="X968" s="62" t="s">
        <v>1932</v>
      </c>
    </row>
    <row r="969" spans="20:24">
      <c r="T969" s="63" t="s">
        <v>2043</v>
      </c>
      <c r="U969" s="63" t="s">
        <v>1739</v>
      </c>
      <c r="V969" s="63" t="s">
        <v>1784</v>
      </c>
      <c r="W969" s="63" t="s">
        <v>1837</v>
      </c>
      <c r="X969" s="62" t="s">
        <v>1932</v>
      </c>
    </row>
    <row r="970" spans="20:24">
      <c r="T970" s="63" t="s">
        <v>2044</v>
      </c>
      <c r="U970" s="63" t="s">
        <v>1739</v>
      </c>
      <c r="V970" s="63" t="s">
        <v>1784</v>
      </c>
      <c r="W970" s="63" t="s">
        <v>1839</v>
      </c>
      <c r="X970" s="62" t="s">
        <v>1932</v>
      </c>
    </row>
    <row r="971" spans="20:24">
      <c r="T971" s="63" t="s">
        <v>2041</v>
      </c>
      <c r="U971" s="63" t="s">
        <v>1758</v>
      </c>
      <c r="V971" s="63" t="s">
        <v>1790</v>
      </c>
      <c r="W971" s="63" t="s">
        <v>1847</v>
      </c>
      <c r="X971" s="63" t="s">
        <v>1891</v>
      </c>
    </row>
    <row r="972" spans="20:24">
      <c r="T972" s="63" t="s">
        <v>2046</v>
      </c>
      <c r="U972" s="63" t="s">
        <v>1758</v>
      </c>
      <c r="V972" s="63" t="s">
        <v>1790</v>
      </c>
      <c r="W972" s="63" t="s">
        <v>1847</v>
      </c>
      <c r="X972" s="63" t="s">
        <v>1891</v>
      </c>
    </row>
  </sheetData>
  <autoFilter ref="S1:Y972"/>
  <mergeCells count="1">
    <mergeCell ref="A6:D6"/>
  </mergeCells>
  <dataValidations disablePrompts="1" count="4">
    <dataValidation type="list" allowBlank="1" showInputMessage="1" showErrorMessage="1" sqref="B4">
      <formula1>OFFSET($D$7,MATCH($B$3,$C$8:$C$150,0),0,COUNTIF($C$8:$C$150,$B$3),1)</formula1>
    </dataValidation>
    <dataValidation type="list" allowBlank="1" showInputMessage="1" showErrorMessage="1" sqref="B3">
      <formula1>OFFSET($L$7,MATCH($B$2,$K$8:$K$150,0),0,COUNTIF($K$8:$K$150,$B$2),1)</formula1>
    </dataValidation>
    <dataValidation type="list" allowBlank="1" showInputMessage="1" showErrorMessage="1" sqref="B1">
      <formula1>OFFSET($F$7,1,0,COUNTA($F$8:$F$150),1)</formula1>
    </dataValidation>
    <dataValidation type="list" allowBlank="1" showInputMessage="1" showErrorMessage="1" sqref="B2">
      <formula1>OFFSET($I$7,MATCH($B$1,$H$8:$H$150,0),0,COUNTIF($H$8:$H$150,$B$1),1)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2">
    <tabColor rgb="FF051E56"/>
  </sheetPr>
  <dimension ref="A1:L23"/>
  <sheetViews>
    <sheetView workbookViewId="0">
      <selection activeCell="B1" sqref="B1"/>
    </sheetView>
  </sheetViews>
  <sheetFormatPr defaultColWidth="0" defaultRowHeight="15" zeroHeight="1"/>
  <cols>
    <col min="1" max="1" width="30.88671875" style="404" customWidth="1"/>
    <col min="2" max="2" width="115.6640625" style="404" customWidth="1"/>
    <col min="3" max="3" width="22.33203125" style="2" customWidth="1"/>
    <col min="4" max="4" width="18.5546875" style="2" hidden="1" customWidth="1"/>
    <col min="5" max="16384" width="9.109375" hidden="1"/>
  </cols>
  <sheetData>
    <row r="1" spans="1:4">
      <c r="A1" s="400" t="s">
        <v>1031</v>
      </c>
      <c r="B1" s="401"/>
      <c r="C1" s="271"/>
    </row>
    <row r="2" spans="1:4">
      <c r="A2" s="400" t="s">
        <v>1027</v>
      </c>
      <c r="B2" s="401"/>
      <c r="C2" s="271"/>
    </row>
    <row r="3" spans="1:4" s="2" customFormat="1">
      <c r="A3" s="400" t="s">
        <v>2261</v>
      </c>
      <c r="B3" s="401"/>
      <c r="C3" s="271"/>
    </row>
    <row r="4" spans="1:4">
      <c r="A4" s="400" t="s">
        <v>1923</v>
      </c>
      <c r="B4" s="401"/>
      <c r="C4" s="271"/>
    </row>
    <row r="5" spans="1:4">
      <c r="A5" s="400" t="s">
        <v>1717</v>
      </c>
      <c r="B5" s="401"/>
      <c r="C5" s="271"/>
    </row>
    <row r="6" spans="1:4">
      <c r="A6" s="400" t="s">
        <v>1731</v>
      </c>
      <c r="B6" s="401"/>
      <c r="C6" s="271"/>
    </row>
    <row r="7" spans="1:4">
      <c r="A7" s="400" t="s">
        <v>1924</v>
      </c>
      <c r="B7" s="401"/>
      <c r="C7" s="271"/>
    </row>
    <row r="8" spans="1:4">
      <c r="A8" s="400" t="s">
        <v>1028</v>
      </c>
      <c r="B8" s="401"/>
      <c r="C8" s="271"/>
    </row>
    <row r="9" spans="1:4">
      <c r="A9" s="400" t="s">
        <v>1035</v>
      </c>
      <c r="B9" s="401"/>
      <c r="C9" s="271"/>
    </row>
    <row r="10" spans="1:4">
      <c r="A10" s="400" t="s">
        <v>2254</v>
      </c>
      <c r="B10" s="401"/>
      <c r="C10" s="271"/>
    </row>
    <row r="11" spans="1:4">
      <c r="A11" s="400" t="s">
        <v>1037</v>
      </c>
      <c r="B11" s="402"/>
      <c r="C11" s="271"/>
    </row>
    <row r="12" spans="1:4">
      <c r="A12" s="400" t="s">
        <v>2157</v>
      </c>
      <c r="B12" s="401"/>
      <c r="C12" s="271"/>
    </row>
    <row r="13" spans="1:4">
      <c r="A13" s="400" t="s">
        <v>2158</v>
      </c>
      <c r="B13" s="403"/>
      <c r="C13" s="271"/>
    </row>
    <row r="14" spans="1:4">
      <c r="A14" s="400" t="s">
        <v>1036</v>
      </c>
      <c r="B14" s="402"/>
      <c r="C14" s="271"/>
      <c r="D14" s="3"/>
    </row>
    <row r="15" spans="1:4">
      <c r="A15" s="400" t="s">
        <v>2443</v>
      </c>
      <c r="B15" s="401"/>
      <c r="C15" s="271"/>
    </row>
    <row r="16" spans="1:4">
      <c r="A16" s="400" t="s">
        <v>2444</v>
      </c>
      <c r="B16" s="401"/>
      <c r="C16" s="271"/>
    </row>
    <row r="17" spans="1:12">
      <c r="A17" s="400" t="s">
        <v>2183</v>
      </c>
      <c r="B17" s="401"/>
      <c r="C17" s="271"/>
    </row>
    <row r="18" spans="1:12">
      <c r="A18" s="400" t="s">
        <v>2184</v>
      </c>
      <c r="B18" s="401" t="str">
        <f>LOOKUP(2,1/('EYDTOWANE PRZEZ'!A:A&lt;&gt;""),'EYDTOWANE PRZEZ'!A:A)</f>
        <v>kbronkow</v>
      </c>
      <c r="C18" s="271"/>
      <c r="L18" s="2"/>
    </row>
    <row r="19" spans="1:12">
      <c r="A19" s="400" t="s">
        <v>2185</v>
      </c>
      <c r="B19" s="402">
        <f>LOOKUP(2,1/('EYDTOWANE PRZEZ'!B:B&lt;&gt;""),'EYDTOWANE PRZEZ'!B:B)</f>
        <v>43196.457071759258</v>
      </c>
      <c r="C19" s="271"/>
    </row>
    <row r="20" spans="1:12" hidden="1"/>
    <row r="21" spans="1:12" hidden="1"/>
    <row r="22" spans="1:12" hidden="1"/>
    <row r="23" spans="1:12" hidden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START">
          <controlPr defaultSize="0" autoLine="0" autoPict="0" r:id="rId5">
            <anchor moveWithCells="1">
              <from>
                <xdr:col>2</xdr:col>
                <xdr:colOff>0</xdr:colOff>
                <xdr:row>0</xdr:row>
                <xdr:rowOff>0</xdr:rowOff>
              </from>
              <to>
                <xdr:col>3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25605" r:id="rId4" name="STAR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3">
    <tabColor rgb="FF051E56"/>
    <pageSetUpPr fitToPage="1"/>
  </sheetPr>
  <dimension ref="A1:DE30"/>
  <sheetViews>
    <sheetView tabSelected="1" topLeftCell="AX1" zoomScale="55" zoomScaleNormal="55" workbookViewId="0">
      <selection activeCell="AX8" sqref="AX8:AZ8"/>
    </sheetView>
  </sheetViews>
  <sheetFormatPr defaultColWidth="9.109375" defaultRowHeight="13.2"/>
  <cols>
    <col min="1" max="1" width="8.33203125" style="77" customWidth="1"/>
    <col min="2" max="2" width="5.44140625" style="76" customWidth="1"/>
    <col min="3" max="3" width="12.6640625" style="76" hidden="1" customWidth="1"/>
    <col min="4" max="4" width="12.6640625" style="76" customWidth="1"/>
    <col min="5" max="5" width="23.5546875" style="77" customWidth="1"/>
    <col min="6" max="7" width="20.6640625" style="77" customWidth="1"/>
    <col min="8" max="8" width="13.5546875" style="77" customWidth="1"/>
    <col min="9" max="9" width="16.6640625" style="77" customWidth="1"/>
    <col min="10" max="10" width="2.5546875" style="77" hidden="1" customWidth="1"/>
    <col min="11" max="13" width="11.6640625" style="78" hidden="1" customWidth="1"/>
    <col min="14" max="14" width="14.44140625" style="78" hidden="1" customWidth="1"/>
    <col min="15" max="15" width="1.88671875" style="78" hidden="1" customWidth="1"/>
    <col min="16" max="16" width="16.88671875" style="79" customWidth="1"/>
    <col min="17" max="17" width="2.44140625" style="79" hidden="1" customWidth="1"/>
    <col min="18" max="18" width="11.5546875" style="80" hidden="1" customWidth="1"/>
    <col min="19" max="19" width="15" style="80" hidden="1" customWidth="1"/>
    <col min="20" max="20" width="13.33203125" style="80" hidden="1" customWidth="1"/>
    <col min="21" max="21" width="14.88671875" style="80" hidden="1" customWidth="1"/>
    <col min="22" max="22" width="15.5546875" style="80" hidden="1" customWidth="1"/>
    <col min="23" max="24" width="11.44140625" style="80" hidden="1" customWidth="1"/>
    <col min="25" max="25" width="2.33203125" style="80" hidden="1" customWidth="1"/>
    <col min="26" max="26" width="19.88671875" style="80" customWidth="1"/>
    <col min="27" max="27" width="1.88671875" style="81" hidden="1" customWidth="1"/>
    <col min="28" max="28" width="15.5546875" style="81" hidden="1" customWidth="1"/>
    <col min="29" max="29" width="14.88671875" style="81" hidden="1" customWidth="1"/>
    <col min="30" max="30" width="16.6640625" style="81" hidden="1" customWidth="1"/>
    <col min="31" max="31" width="13.5546875" style="81" hidden="1" customWidth="1"/>
    <col min="32" max="32" width="17.109375" style="81" hidden="1" customWidth="1"/>
    <col min="33" max="33" width="9.88671875" style="81" hidden="1" customWidth="1"/>
    <col min="34" max="34" width="7.6640625" style="81" hidden="1" customWidth="1"/>
    <col min="35" max="35" width="12" style="81" hidden="1" customWidth="1"/>
    <col min="36" max="36" width="33.44140625" style="81" hidden="1" customWidth="1"/>
    <col min="37" max="37" width="1.33203125" style="77" hidden="1" customWidth="1"/>
    <col min="38" max="38" width="5.33203125" style="77" customWidth="1"/>
    <col min="39" max="39" width="15.5546875" style="77" customWidth="1"/>
    <col min="40" max="40" width="14.109375" style="77" customWidth="1"/>
    <col min="41" max="42" width="21.6640625" style="77" customWidth="1"/>
    <col min="43" max="43" width="19.6640625" style="77" customWidth="1"/>
    <col min="44" max="44" width="22.44140625" style="77" customWidth="1"/>
    <col min="45" max="45" width="15.6640625" style="77" customWidth="1"/>
    <col min="46" max="46" width="15" style="77" customWidth="1"/>
    <col min="47" max="47" width="14.6640625" style="77" customWidth="1"/>
    <col min="48" max="48" width="14.109375" style="77" customWidth="1"/>
    <col min="49" max="49" width="3.5546875" style="77" hidden="1" customWidth="1"/>
    <col min="50" max="63" width="18.33203125" style="77" customWidth="1"/>
    <col min="64" max="64" width="2.44140625" style="77" hidden="1" customWidth="1"/>
    <col min="65" max="65" width="15.88671875" style="77" customWidth="1"/>
    <col min="66" max="66" width="16.109375" style="77" customWidth="1"/>
    <col min="67" max="67" width="16.109375" style="82" customWidth="1"/>
    <col min="68" max="68" width="2.5546875" style="82" hidden="1" customWidth="1"/>
    <col min="69" max="70" width="18.88671875" style="77" customWidth="1"/>
    <col min="71" max="71" width="18.88671875" style="83" customWidth="1"/>
    <col min="72" max="72" width="18.88671875" style="77" customWidth="1"/>
    <col min="73" max="73" width="21.109375" style="77" customWidth="1"/>
    <col min="74" max="74" width="18.88671875" style="77" customWidth="1"/>
    <col min="75" max="75" width="20" style="77" customWidth="1"/>
    <col min="76" max="76" width="23.109375" style="77" customWidth="1"/>
    <col min="77" max="77" width="18.88671875" style="77" customWidth="1"/>
    <col min="78" max="78" width="18.33203125" style="77" customWidth="1"/>
    <col min="79" max="79" width="1.33203125" style="77" hidden="1" customWidth="1"/>
    <col min="80" max="82" width="15" style="77" customWidth="1"/>
    <col min="83" max="85" width="16" style="77" customWidth="1"/>
    <col min="86" max="87" width="12.5546875" style="77" customWidth="1"/>
    <col min="88" max="89" width="13.88671875" style="77" customWidth="1"/>
    <col min="90" max="90" width="11" style="77" customWidth="1"/>
    <col min="91" max="91" width="4.5546875" style="77" hidden="1" customWidth="1"/>
    <col min="92" max="92" width="16.5546875" style="77" customWidth="1"/>
    <col min="93" max="93" width="18.109375" style="77" customWidth="1"/>
    <col min="94" max="94" width="16" style="77" customWidth="1"/>
    <col min="95" max="97" width="17" style="77" customWidth="1"/>
    <col min="98" max="98" width="15.109375" style="77" customWidth="1"/>
    <col min="99" max="99" width="20.44140625" style="77" customWidth="1"/>
    <col min="100" max="100" width="21.44140625" style="77" customWidth="1"/>
    <col min="101" max="102" width="18.5546875" style="77" customWidth="1"/>
    <col min="103" max="103" width="17.88671875" style="77" hidden="1" customWidth="1"/>
    <col min="104" max="104" width="28.5546875" style="77" customWidth="1"/>
    <col min="105" max="105" width="2.88671875" style="77" customWidth="1"/>
    <col min="106" max="108" width="17.109375" style="77" hidden="1" customWidth="1"/>
    <col min="109" max="109" width="2.6640625" style="77" hidden="1" customWidth="1"/>
    <col min="110" max="114" width="15.33203125" style="77" customWidth="1"/>
    <col min="115" max="399" width="9.109375" style="77" customWidth="1"/>
    <col min="400" max="16384" width="9.109375" style="77"/>
  </cols>
  <sheetData>
    <row r="1" spans="1:109" s="406" customFormat="1" ht="30" customHeight="1">
      <c r="E1" s="670" t="s">
        <v>2369</v>
      </c>
      <c r="F1" s="670"/>
      <c r="G1" s="670">
        <f>'Tabela informacyjna'!B1</f>
        <v>0</v>
      </c>
      <c r="H1" s="670"/>
      <c r="I1" s="670"/>
      <c r="K1" s="407"/>
      <c r="L1" s="408"/>
      <c r="M1" s="407"/>
      <c r="N1" s="407"/>
      <c r="O1" s="407"/>
      <c r="P1" s="409"/>
      <c r="Q1" s="409"/>
      <c r="V1" s="410"/>
      <c r="W1" s="410"/>
      <c r="X1" s="410"/>
      <c r="Y1" s="410"/>
      <c r="Z1" s="410"/>
      <c r="AA1" s="411"/>
      <c r="AB1" s="411"/>
      <c r="AC1" s="412"/>
      <c r="AG1" s="412"/>
      <c r="AH1" s="412"/>
      <c r="AI1" s="411"/>
      <c r="AJ1" s="411"/>
      <c r="AO1" s="413"/>
      <c r="BO1" s="414"/>
      <c r="BP1" s="414"/>
      <c r="BS1" s="415"/>
      <c r="CZ1" s="517" t="s">
        <v>2192</v>
      </c>
    </row>
    <row r="2" spans="1:109" s="406" customFormat="1" ht="30" customHeight="1">
      <c r="E2" s="670" t="s">
        <v>2370</v>
      </c>
      <c r="F2" s="670"/>
      <c r="G2" s="670">
        <f>'Tabela informacyjna'!B3</f>
        <v>0</v>
      </c>
      <c r="H2" s="670"/>
      <c r="I2" s="670"/>
      <c r="K2" s="416"/>
      <c r="L2" s="416"/>
      <c r="M2" s="407"/>
      <c r="N2" s="407"/>
      <c r="O2" s="407"/>
      <c r="P2" s="409"/>
      <c r="Q2" s="409"/>
      <c r="AA2" s="411"/>
      <c r="AB2" s="411"/>
      <c r="AC2" s="412"/>
      <c r="AD2" s="412"/>
      <c r="AG2" s="412"/>
      <c r="AH2" s="412"/>
      <c r="AI2" s="411"/>
      <c r="AJ2" s="411"/>
      <c r="AL2" s="417"/>
      <c r="AM2" s="417"/>
      <c r="AN2" s="417"/>
      <c r="BE2" s="410"/>
      <c r="BO2" s="414"/>
      <c r="BP2" s="414"/>
      <c r="BS2" s="415"/>
      <c r="CC2" s="405" t="s">
        <v>2381</v>
      </c>
      <c r="CD2" s="405" t="s">
        <v>2452</v>
      </c>
      <c r="CE2" s="405" t="s">
        <v>2269</v>
      </c>
      <c r="CF2" s="405" t="s">
        <v>2178</v>
      </c>
      <c r="CG2" s="405" t="s">
        <v>2270</v>
      </c>
      <c r="CQ2" s="405" t="s">
        <v>2169</v>
      </c>
      <c r="CR2" s="419" t="s">
        <v>1735</v>
      </c>
      <c r="CS2" s="420" t="s">
        <v>2191</v>
      </c>
      <c r="CU2" s="419" t="s">
        <v>2483</v>
      </c>
      <c r="CZ2" s="421" t="s">
        <v>1735</v>
      </c>
    </row>
    <row r="3" spans="1:109" s="406" customFormat="1" ht="33" customHeight="1">
      <c r="B3" s="422"/>
      <c r="E3" s="423"/>
      <c r="F3" s="424"/>
      <c r="P3" s="425"/>
      <c r="Q3" s="425"/>
      <c r="S3" s="426"/>
      <c r="T3" s="426"/>
      <c r="AA3" s="411"/>
      <c r="AB3" s="411"/>
      <c r="AC3" s="412"/>
      <c r="AD3" s="412"/>
      <c r="AE3" s="412"/>
      <c r="AF3" s="412"/>
      <c r="AG3" s="412"/>
      <c r="AH3" s="412"/>
      <c r="AI3" s="411"/>
      <c r="AJ3" s="411"/>
      <c r="AR3" s="427"/>
      <c r="AY3" s="650" t="s">
        <v>2681</v>
      </c>
      <c r="AZ3" s="650" t="s">
        <v>2682</v>
      </c>
      <c r="BS3" s="415"/>
      <c r="CC3" s="405" t="s">
        <v>2271</v>
      </c>
      <c r="CD3" s="428"/>
      <c r="CE3" s="428"/>
      <c r="CF3" s="428"/>
      <c r="CG3" s="428"/>
      <c r="CL3" s="429"/>
      <c r="CQ3" s="431" t="s">
        <v>2197</v>
      </c>
      <c r="CR3" s="428">
        <v>0</v>
      </c>
      <c r="CS3" s="430">
        <v>0</v>
      </c>
      <c r="CU3" s="381">
        <f>Kalkulacja[[#Totals],[Obrót (PLN/rok) ]]*30%</f>
        <v>0</v>
      </c>
      <c r="CZ3" s="432" t="s">
        <v>2191</v>
      </c>
    </row>
    <row r="4" spans="1:109" s="406" customFormat="1" ht="33" customHeight="1">
      <c r="B4" s="433"/>
      <c r="C4" s="422"/>
      <c r="D4" s="422"/>
      <c r="E4" s="423"/>
      <c r="F4" s="424"/>
      <c r="P4" s="425"/>
      <c r="Q4" s="425"/>
      <c r="R4" s="425"/>
      <c r="S4" s="425"/>
      <c r="T4" s="425"/>
      <c r="U4" s="425"/>
      <c r="V4" s="425"/>
      <c r="W4" s="425"/>
      <c r="X4" s="425"/>
      <c r="Y4" s="425"/>
      <c r="Z4" s="434"/>
      <c r="AA4" s="411"/>
      <c r="AB4" s="411"/>
      <c r="AC4" s="412"/>
      <c r="AD4" s="412"/>
      <c r="AE4" s="412"/>
      <c r="AF4" s="412"/>
      <c r="AG4" s="412"/>
      <c r="AH4" s="412"/>
      <c r="AR4" s="435"/>
      <c r="AY4" s="436">
        <v>0.1</v>
      </c>
      <c r="AZ4" s="436">
        <v>0.1</v>
      </c>
      <c r="BS4" s="415"/>
      <c r="CC4" s="418"/>
      <c r="CD4" s="428"/>
      <c r="CE4" s="428"/>
      <c r="CF4" s="428"/>
      <c r="CG4" s="428"/>
      <c r="CH4" s="437"/>
      <c r="CI4" s="437"/>
      <c r="CM4" s="429"/>
      <c r="CQ4" s="431" t="s">
        <v>2198</v>
      </c>
      <c r="CR4" s="428">
        <v>0</v>
      </c>
      <c r="CS4" s="430">
        <v>0</v>
      </c>
      <c r="CZ4" s="432" t="s">
        <v>2265</v>
      </c>
    </row>
    <row r="5" spans="1:109" s="427" customFormat="1" ht="33" customHeight="1">
      <c r="B5" s="438"/>
      <c r="C5" s="439"/>
      <c r="E5" s="440"/>
      <c r="F5" s="440"/>
      <c r="G5" s="440"/>
      <c r="H5" s="440"/>
      <c r="I5" s="440"/>
      <c r="J5" s="440"/>
      <c r="K5" s="441"/>
      <c r="L5" s="441"/>
      <c r="M5" s="441"/>
      <c r="N5" s="441"/>
      <c r="O5" s="441"/>
      <c r="Z5" s="442"/>
      <c r="AA5" s="443"/>
      <c r="AB5" s="444"/>
      <c r="AP5" s="435"/>
      <c r="AQ5" s="435"/>
      <c r="AR5" s="435"/>
      <c r="BW5" s="406"/>
      <c r="CQ5" s="431" t="s">
        <v>1016</v>
      </c>
      <c r="CR5" s="445">
        <v>0.15</v>
      </c>
      <c r="CS5" s="436">
        <v>0.15</v>
      </c>
      <c r="CZ5" s="446" t="s">
        <v>2362</v>
      </c>
    </row>
    <row r="6" spans="1:109" s="427" customFormat="1" ht="15.6">
      <c r="B6" s="438"/>
      <c r="C6" s="439"/>
      <c r="E6" s="440"/>
      <c r="F6" s="440"/>
      <c r="G6" s="440"/>
      <c r="H6" s="440"/>
      <c r="I6" s="440"/>
      <c r="J6" s="440"/>
      <c r="K6" s="441"/>
      <c r="L6" s="441"/>
      <c r="M6" s="441"/>
      <c r="N6" s="441"/>
      <c r="O6" s="441"/>
      <c r="P6" s="447"/>
      <c r="Q6" s="447"/>
      <c r="Z6" s="442"/>
      <c r="AA6" s="443"/>
      <c r="AB6" s="444"/>
      <c r="AP6" s="435"/>
      <c r="AQ6" s="435"/>
      <c r="AR6" s="435"/>
    </row>
    <row r="7" spans="1:109" s="444" customFormat="1" ht="15.6">
      <c r="A7" s="448"/>
      <c r="B7" s="449"/>
      <c r="C7" s="449"/>
      <c r="D7" s="448"/>
      <c r="E7" s="450"/>
      <c r="F7" s="450"/>
      <c r="G7" s="450"/>
      <c r="H7" s="450"/>
      <c r="I7" s="450"/>
      <c r="J7" s="450"/>
      <c r="K7" s="451"/>
      <c r="L7" s="451"/>
      <c r="M7" s="451"/>
      <c r="N7" s="451"/>
      <c r="O7" s="451"/>
      <c r="P7" s="452"/>
      <c r="Q7" s="453"/>
      <c r="R7" s="448"/>
      <c r="S7" s="448"/>
      <c r="T7" s="448"/>
      <c r="U7" s="448"/>
      <c r="V7" s="448"/>
      <c r="W7" s="448"/>
      <c r="X7" s="448"/>
      <c r="Y7" s="448"/>
      <c r="Z7" s="452"/>
      <c r="AA7" s="448"/>
      <c r="AB7" s="448"/>
      <c r="AC7" s="448"/>
      <c r="AD7" s="448"/>
      <c r="AE7" s="448"/>
      <c r="AF7" s="448"/>
      <c r="AG7" s="448"/>
      <c r="AH7" s="448"/>
      <c r="AI7" s="448"/>
      <c r="AJ7" s="448"/>
      <c r="AK7" s="448"/>
      <c r="AL7" s="448"/>
      <c r="AM7" s="448"/>
      <c r="AN7" s="448"/>
      <c r="AO7" s="448"/>
      <c r="AP7" s="454"/>
      <c r="AQ7" s="454"/>
      <c r="AR7" s="454"/>
      <c r="AS7" s="448"/>
      <c r="AT7" s="448"/>
      <c r="AU7" s="448"/>
      <c r="AV7" s="448"/>
      <c r="AW7" s="448"/>
      <c r="AX7" s="680" t="s">
        <v>2853</v>
      </c>
      <c r="AY7" s="681"/>
      <c r="AZ7" s="681"/>
      <c r="BA7" s="681"/>
      <c r="BB7" s="681"/>
      <c r="BC7" s="681"/>
      <c r="BD7" s="681"/>
      <c r="BE7" s="681"/>
      <c r="BF7" s="681"/>
      <c r="BG7" s="681"/>
      <c r="BH7" s="681"/>
      <c r="BI7" s="681"/>
      <c r="BJ7" s="681"/>
      <c r="BK7" s="681"/>
      <c r="BL7" s="681"/>
      <c r="BM7" s="681"/>
      <c r="BN7" s="681"/>
      <c r="BO7" s="681"/>
      <c r="BP7" s="681"/>
      <c r="BQ7" s="681"/>
      <c r="BR7" s="681"/>
      <c r="BS7" s="681"/>
      <c r="BT7" s="681"/>
      <c r="BU7" s="681"/>
      <c r="BV7" s="681"/>
      <c r="BW7" s="681"/>
      <c r="BX7" s="681"/>
      <c r="BY7" s="681"/>
      <c r="BZ7" s="682"/>
      <c r="CA7" s="455"/>
      <c r="CB7" s="677" t="s">
        <v>2273</v>
      </c>
      <c r="CC7" s="678"/>
      <c r="CD7" s="678"/>
      <c r="CE7" s="678"/>
      <c r="CF7" s="678"/>
      <c r="CG7" s="678"/>
      <c r="CH7" s="678"/>
      <c r="CI7" s="678"/>
      <c r="CJ7" s="678"/>
      <c r="CK7" s="678"/>
      <c r="CL7" s="678"/>
      <c r="CM7" s="678"/>
      <c r="CN7" s="678"/>
      <c r="CO7" s="678"/>
      <c r="CP7" s="678"/>
      <c r="CQ7" s="678"/>
      <c r="CR7" s="678"/>
      <c r="CS7" s="678"/>
      <c r="CT7" s="678"/>
      <c r="CU7" s="678"/>
      <c r="CV7" s="678"/>
      <c r="CW7" s="678"/>
      <c r="CX7" s="678"/>
      <c r="CY7" s="678"/>
      <c r="CZ7" s="679"/>
      <c r="DA7" s="456"/>
      <c r="DB7" s="672" t="s">
        <v>2492</v>
      </c>
      <c r="DC7" s="673"/>
      <c r="DD7" s="674"/>
    </row>
    <row r="8" spans="1:109" s="473" customFormat="1" ht="15.6">
      <c r="A8" s="463"/>
      <c r="B8" s="464"/>
      <c r="C8" s="464"/>
      <c r="D8" s="463"/>
      <c r="E8" s="465"/>
      <c r="F8" s="465"/>
      <c r="G8" s="465"/>
      <c r="H8" s="465"/>
      <c r="I8" s="465"/>
      <c r="J8" s="465"/>
      <c r="K8" s="670" t="s">
        <v>2449</v>
      </c>
      <c r="L8" s="670"/>
      <c r="M8" s="670"/>
      <c r="N8" s="670"/>
      <c r="O8" s="466"/>
      <c r="P8" s="467"/>
      <c r="Q8" s="468"/>
      <c r="R8" s="670" t="s">
        <v>1010</v>
      </c>
      <c r="S8" s="670"/>
      <c r="T8" s="670"/>
      <c r="U8" s="670"/>
      <c r="V8" s="670"/>
      <c r="W8" s="670"/>
      <c r="X8" s="670"/>
      <c r="Y8" s="463"/>
      <c r="Z8" s="469"/>
      <c r="AA8" s="463"/>
      <c r="AB8" s="670" t="s">
        <v>1032</v>
      </c>
      <c r="AC8" s="670"/>
      <c r="AD8" s="670"/>
      <c r="AE8" s="670"/>
      <c r="AF8" s="670"/>
      <c r="AG8" s="670"/>
      <c r="AH8" s="670"/>
      <c r="AI8" s="670"/>
      <c r="AJ8" s="670"/>
      <c r="AK8" s="463"/>
      <c r="AL8" s="463"/>
      <c r="AM8" s="463"/>
      <c r="AN8" s="463"/>
      <c r="AO8" s="463"/>
      <c r="AP8" s="470"/>
      <c r="AQ8" s="470"/>
      <c r="AR8" s="463"/>
      <c r="AS8" s="463"/>
      <c r="AT8" s="463"/>
      <c r="AU8" s="463"/>
      <c r="AV8" s="463"/>
      <c r="AW8" s="463"/>
      <c r="AX8" s="670" t="s">
        <v>2500</v>
      </c>
      <c r="AY8" s="670"/>
      <c r="AZ8" s="670"/>
      <c r="BA8" s="670" t="s">
        <v>124</v>
      </c>
      <c r="BB8" s="670"/>
      <c r="BC8" s="670"/>
      <c r="BD8" s="670" t="s">
        <v>123</v>
      </c>
      <c r="BE8" s="670"/>
      <c r="BF8" s="670"/>
      <c r="BG8" s="670" t="s">
        <v>1016</v>
      </c>
      <c r="BH8" s="670"/>
      <c r="BI8" s="670"/>
      <c r="BJ8" s="670"/>
      <c r="BK8" s="670"/>
      <c r="BL8" s="463"/>
      <c r="BM8" s="670" t="s">
        <v>2488</v>
      </c>
      <c r="BN8" s="670"/>
      <c r="BO8" s="670"/>
      <c r="BP8" s="471"/>
      <c r="BQ8" s="670" t="s">
        <v>2489</v>
      </c>
      <c r="BR8" s="670"/>
      <c r="BS8" s="670"/>
      <c r="BT8" s="670"/>
      <c r="BU8" s="670"/>
      <c r="BV8" s="670"/>
      <c r="BW8" s="670" t="s">
        <v>2490</v>
      </c>
      <c r="BX8" s="670"/>
      <c r="BY8" s="670" t="s">
        <v>2486</v>
      </c>
      <c r="BZ8" s="670"/>
      <c r="CA8" s="463"/>
      <c r="CB8" s="670" t="s">
        <v>124</v>
      </c>
      <c r="CC8" s="670"/>
      <c r="CD8" s="670"/>
      <c r="CE8" s="670" t="s">
        <v>123</v>
      </c>
      <c r="CF8" s="670"/>
      <c r="CG8" s="670"/>
      <c r="CH8" s="670" t="s">
        <v>2203</v>
      </c>
      <c r="CI8" s="670"/>
      <c r="CJ8" s="670"/>
      <c r="CK8" s="670"/>
      <c r="CL8" s="670"/>
      <c r="CM8" s="463"/>
      <c r="CN8" s="670" t="s">
        <v>1016</v>
      </c>
      <c r="CO8" s="670"/>
      <c r="CP8" s="670"/>
      <c r="CQ8" s="670" t="s">
        <v>2487</v>
      </c>
      <c r="CR8" s="670"/>
      <c r="CS8" s="670"/>
      <c r="CT8" s="670" t="s">
        <v>2490</v>
      </c>
      <c r="CU8" s="670"/>
      <c r="CV8" s="670"/>
      <c r="CW8" s="670" t="s">
        <v>2485</v>
      </c>
      <c r="CX8" s="670"/>
      <c r="CY8" s="670" t="s">
        <v>2486</v>
      </c>
      <c r="CZ8" s="675"/>
      <c r="DA8" s="472"/>
      <c r="DB8" s="676" t="s">
        <v>2491</v>
      </c>
      <c r="DC8" s="670"/>
      <c r="DD8" s="675"/>
    </row>
    <row r="9" spans="1:109" s="292" customFormat="1" ht="74.25" customHeight="1">
      <c r="A9" s="457" t="s">
        <v>2257</v>
      </c>
      <c r="B9" s="457" t="s">
        <v>120</v>
      </c>
      <c r="C9" s="457" t="s">
        <v>2446</v>
      </c>
      <c r="D9" s="457" t="s">
        <v>2445</v>
      </c>
      <c r="E9" s="458" t="s">
        <v>1708</v>
      </c>
      <c r="F9" s="458" t="s">
        <v>1709</v>
      </c>
      <c r="G9" s="458" t="s">
        <v>2408</v>
      </c>
      <c r="H9" s="458" t="s">
        <v>2255</v>
      </c>
      <c r="I9" s="458" t="s">
        <v>2162</v>
      </c>
      <c r="J9" s="448" t="s">
        <v>2514</v>
      </c>
      <c r="K9" s="459" t="s">
        <v>2207</v>
      </c>
      <c r="L9" s="459" t="s">
        <v>2205</v>
      </c>
      <c r="M9" s="459" t="s">
        <v>2204</v>
      </c>
      <c r="N9" s="459" t="s">
        <v>2258</v>
      </c>
      <c r="O9" s="448" t="s">
        <v>2515</v>
      </c>
      <c r="P9" s="460" t="s">
        <v>2447</v>
      </c>
      <c r="Q9" s="448" t="s">
        <v>2516</v>
      </c>
      <c r="R9" s="287" t="s">
        <v>2409</v>
      </c>
      <c r="S9" s="287" t="s">
        <v>2410</v>
      </c>
      <c r="T9" s="287" t="s">
        <v>2450</v>
      </c>
      <c r="U9" s="287" t="s">
        <v>2684</v>
      </c>
      <c r="V9" s="287" t="s">
        <v>2685</v>
      </c>
      <c r="W9" s="287" t="s">
        <v>2686</v>
      </c>
      <c r="X9" s="287" t="s">
        <v>2687</v>
      </c>
      <c r="Y9" s="448" t="s">
        <v>2517</v>
      </c>
      <c r="Z9" s="460" t="s">
        <v>2448</v>
      </c>
      <c r="AA9" s="448" t="s">
        <v>2199</v>
      </c>
      <c r="AB9" s="461" t="s">
        <v>2527</v>
      </c>
      <c r="AC9" s="461" t="s">
        <v>2416</v>
      </c>
      <c r="AD9" s="461" t="s">
        <v>2159</v>
      </c>
      <c r="AE9" s="461" t="s">
        <v>1029</v>
      </c>
      <c r="AF9" s="461" t="s">
        <v>2412</v>
      </c>
      <c r="AG9" s="461" t="s">
        <v>1030</v>
      </c>
      <c r="AH9" s="461" t="s">
        <v>1703</v>
      </c>
      <c r="AI9" s="461" t="s">
        <v>1702</v>
      </c>
      <c r="AJ9" s="461" t="s">
        <v>2160</v>
      </c>
      <c r="AK9" s="448" t="s">
        <v>2200</v>
      </c>
      <c r="AL9" s="462" t="s">
        <v>1701</v>
      </c>
      <c r="AM9" s="458" t="s">
        <v>2405</v>
      </c>
      <c r="AN9" s="458" t="s">
        <v>121</v>
      </c>
      <c r="AO9" s="287" t="s">
        <v>2688</v>
      </c>
      <c r="AP9" s="458" t="s">
        <v>2371</v>
      </c>
      <c r="AQ9" s="287" t="s">
        <v>2689</v>
      </c>
      <c r="AR9" s="287" t="s">
        <v>2413</v>
      </c>
      <c r="AS9" s="287" t="s">
        <v>2451</v>
      </c>
      <c r="AT9" s="287" t="s">
        <v>1007</v>
      </c>
      <c r="AU9" s="287" t="s">
        <v>1008</v>
      </c>
      <c r="AV9" s="287" t="s">
        <v>1011</v>
      </c>
      <c r="AW9" s="286" t="s">
        <v>2512</v>
      </c>
      <c r="AX9" s="287" t="s">
        <v>2163</v>
      </c>
      <c r="AY9" s="287" t="s">
        <v>2453</v>
      </c>
      <c r="AZ9" s="287" t="s">
        <v>2454</v>
      </c>
      <c r="BA9" s="287" t="s">
        <v>2674</v>
      </c>
      <c r="BB9" s="287" t="s">
        <v>2675</v>
      </c>
      <c r="BC9" s="287" t="s">
        <v>2676</v>
      </c>
      <c r="BD9" s="287" t="s">
        <v>2540</v>
      </c>
      <c r="BE9" s="287" t="s">
        <v>2541</v>
      </c>
      <c r="BF9" s="287" t="s">
        <v>2677</v>
      </c>
      <c r="BG9" s="287" t="s">
        <v>2520</v>
      </c>
      <c r="BH9" s="287" t="s">
        <v>2678</v>
      </c>
      <c r="BI9" s="287" t="s">
        <v>2531</v>
      </c>
      <c r="BJ9" s="287" t="s">
        <v>2532</v>
      </c>
      <c r="BK9" s="287" t="s">
        <v>2533</v>
      </c>
      <c r="BL9" s="286" t="s">
        <v>2513</v>
      </c>
      <c r="BM9" s="287" t="s">
        <v>2484</v>
      </c>
      <c r="BN9" s="287" t="s">
        <v>1012</v>
      </c>
      <c r="BO9" s="287" t="s">
        <v>1015</v>
      </c>
      <c r="BP9" s="286" t="s">
        <v>2542</v>
      </c>
      <c r="BQ9" s="288" t="s">
        <v>2534</v>
      </c>
      <c r="BR9" s="288" t="s">
        <v>2535</v>
      </c>
      <c r="BS9" s="287" t="s">
        <v>2536</v>
      </c>
      <c r="BT9" s="287" t="s">
        <v>2537</v>
      </c>
      <c r="BU9" s="287" t="s">
        <v>2538</v>
      </c>
      <c r="BV9" s="287" t="s">
        <v>2539</v>
      </c>
      <c r="BW9" s="287" t="s">
        <v>2432</v>
      </c>
      <c r="BX9" s="287" t="s">
        <v>2433</v>
      </c>
      <c r="BY9" s="287" t="s">
        <v>2455</v>
      </c>
      <c r="BZ9" s="287" t="s">
        <v>2456</v>
      </c>
      <c r="CA9" s="289" t="s">
        <v>2518</v>
      </c>
      <c r="CB9" s="287" t="s">
        <v>2417</v>
      </c>
      <c r="CC9" s="287" t="s">
        <v>2418</v>
      </c>
      <c r="CD9" s="287" t="s">
        <v>2419</v>
      </c>
      <c r="CE9" s="287" t="s">
        <v>2420</v>
      </c>
      <c r="CF9" s="287" t="s">
        <v>2498</v>
      </c>
      <c r="CG9" s="287" t="s">
        <v>2499</v>
      </c>
      <c r="CH9" s="287" t="s">
        <v>2421</v>
      </c>
      <c r="CI9" s="287" t="s">
        <v>2422</v>
      </c>
      <c r="CJ9" s="287" t="s">
        <v>2423</v>
      </c>
      <c r="CK9" s="287" t="s">
        <v>2424</v>
      </c>
      <c r="CL9" s="287" t="s">
        <v>2425</v>
      </c>
      <c r="CM9" s="289" t="s">
        <v>2519</v>
      </c>
      <c r="CN9" s="287" t="s">
        <v>2156</v>
      </c>
      <c r="CO9" s="287" t="s">
        <v>1013</v>
      </c>
      <c r="CP9" s="287" t="s">
        <v>1016</v>
      </c>
      <c r="CQ9" s="287" t="s">
        <v>2372</v>
      </c>
      <c r="CR9" s="290" t="s">
        <v>2414</v>
      </c>
      <c r="CS9" s="290" t="s">
        <v>2415</v>
      </c>
      <c r="CT9" s="291" t="s">
        <v>2426</v>
      </c>
      <c r="CU9" s="291" t="s">
        <v>2427</v>
      </c>
      <c r="CV9" s="291" t="s">
        <v>2428</v>
      </c>
      <c r="CW9" s="291" t="s">
        <v>2429</v>
      </c>
      <c r="CX9" s="291" t="s">
        <v>2430</v>
      </c>
      <c r="CY9" s="291" t="s">
        <v>2431</v>
      </c>
      <c r="CZ9" s="383" t="s">
        <v>1009</v>
      </c>
      <c r="DA9" s="384" t="s">
        <v>2511</v>
      </c>
      <c r="DB9" s="382" t="s">
        <v>2458</v>
      </c>
      <c r="DC9" s="287" t="s">
        <v>2457</v>
      </c>
      <c r="DD9" s="383" t="s">
        <v>2510</v>
      </c>
      <c r="DE9" s="384" t="s">
        <v>2680</v>
      </c>
    </row>
    <row r="10" spans="1:109" s="490" customFormat="1" ht="84" customHeight="1">
      <c r="A10" s="297"/>
      <c r="B10" s="474">
        <f t="shared" ref="B10" si="0">ROW()-9</f>
        <v>1</v>
      </c>
      <c r="C10" s="475"/>
      <c r="D10" s="476">
        <f>Kalkulacja[[#This Row],[Kod odpadu 
*u Klienta]]</f>
        <v>0</v>
      </c>
      <c r="E10" s="477" t="str">
        <f>IFERROR(VLOOKUP(Kalkulacja[[#This Row],[Kod odpadu *w ofercie SUEZ]],Tabela7[[Kod odpadu]:[Rodzaj odpadu]],2,0),"")</f>
        <v/>
      </c>
      <c r="F10" s="478"/>
      <c r="G10" s="479"/>
      <c r="H10" s="478"/>
      <c r="I10" s="480"/>
      <c r="J10" s="480"/>
      <c r="K10" s="481"/>
      <c r="L10" s="481"/>
      <c r="M10" s="481"/>
      <c r="N10" s="481"/>
      <c r="O10" s="481"/>
      <c r="P10" s="477" t="str">
        <f>Kalkulacja[[#This Row],[Miasto]]&amp;CHAR(10)&amp;Kalkulacja[[#This Row],[Kod pocztowy]]&amp;CHAR(10)&amp;Kalkulacja[[#This Row],[Ulica]]&amp;CHAR(10)&amp;Kalkulacja[[#This Row],[Nazwa/Numer Obiektu]]</f>
        <v xml:space="preserve">
</v>
      </c>
      <c r="Q10" s="477"/>
      <c r="R10" s="480"/>
      <c r="S10" s="480"/>
      <c r="T10" s="480">
        <f>Kalkulacja[[#This Row],[Rodzaj sprzętu (pojemniki i urządzenia) **sugerowany]]</f>
        <v>0</v>
      </c>
      <c r="U10" s="480"/>
      <c r="V10" s="480"/>
      <c r="W10" s="480"/>
      <c r="X10" s="480"/>
      <c r="Y10" s="480"/>
      <c r="Z10" s="480" t="str">
        <f>IF(Kalkulacja[[#This Row],[Postać odpadu]]&lt;&gt;"","Postać: " &amp;Kalkulacja[[#This Row],[Postać odpadu]]&amp;CHAR(10),"")&amp;IF(Kalkulacja[[#This Row],[Rodzaj sprzętu w ofercie SUEZ (pojemniki i urządzenia)]]&lt;&gt;"","Sprzęt: "&amp;Kalkulacja[[#This Row],[Rodzaj sprzętu w ofercie SUEZ (pojemniki i urządzenia)]]&amp;CHAR(10)&amp;"dla Klienta: "&amp;Kalkulacja[[#This Row],[Ilość pojemników/ sprzętu w ofercie SUEZ dla Klienta]]&amp;" własność:"&amp;Kalkulacja[[#This Row],[Własność pojemników/ sprzętu w ofercie SUEZ dla Klienta]] &amp;CHAR(10)&amp;"na wymianę: "&amp;Kalkulacja[[#This Row],[Ilość pojemników/ sprzętu na wymianę]],"") &amp; " własnośc:" &amp;Kalkulacja[[#This Row],[Własność pojemników/ sprzętu na wymianę]]</f>
        <v>Sprzęt: 0
dla Klienta:  własność:
na wymianę:  własnośc:</v>
      </c>
      <c r="AA10" s="482"/>
      <c r="AB10" s="483"/>
      <c r="AC10" s="484"/>
      <c r="AD10" s="485"/>
      <c r="AE10" s="484"/>
      <c r="AF10" s="484"/>
      <c r="AG10" s="484"/>
      <c r="AH10" s="484"/>
      <c r="AI10" s="484"/>
      <c r="AJ10" s="484"/>
      <c r="AK10" s="482"/>
      <c r="AL10" s="486"/>
      <c r="AM10" s="487" t="s">
        <v>2543</v>
      </c>
      <c r="AN10" s="478"/>
      <c r="AO10" s="478"/>
      <c r="AP10" s="478"/>
      <c r="AQ10" s="478"/>
      <c r="AR10" s="478"/>
      <c r="AS10" s="478"/>
      <c r="AT10" s="488"/>
      <c r="AU10" s="478"/>
      <c r="AV10" s="478"/>
      <c r="AW10" s="444"/>
      <c r="AX10" s="293"/>
      <c r="AY10" s="294">
        <f>Kalkulacja[[#This Row],[Przychód z odsprzedaży]]/(1-$AY$4)</f>
        <v>0</v>
      </c>
      <c r="AZ10" s="295">
        <f>Kalkulacja[[#This Row],[Koszt zagospodarowania/usługi]]*(1-$AY$4)</f>
        <v>0</v>
      </c>
      <c r="BA10" s="296">
        <f>Kalkulacja[[#This Row],[Transport (zł/kurs)]]*(1-$AZ$4)</f>
        <v>0</v>
      </c>
      <c r="BB10" s="296">
        <f>Kalkulacja[[#This Row],[Partia transportowa (Mg/kurs)]]</f>
        <v>0</v>
      </c>
      <c r="BC10" s="296">
        <f>IFERROR(Kalkulacja[[#This Row],[Transport (zł/kurs) 
spółka]]/Kalkulacja[[#This Row],[Partia transportowa (Mg/kurs)
spółka]],0)</f>
        <v>0</v>
      </c>
      <c r="BD10" s="296">
        <f>Kalkulacja[[#This Row],[Transport  (zł/kurs)]]*(1-$AZ$4)</f>
        <v>0</v>
      </c>
      <c r="BE10" s="296">
        <f>Kalkulacja[[#This Row],[Partia transportowa (Mg/kurs) ]]</f>
        <v>0</v>
      </c>
      <c r="BF10" s="296">
        <f>IFERROR(Kalkulacja[[#This Row],[Transport (zł/kurs)
spółka]]/Kalkulacja[[#This Row],[Partia transportowa (Mg/kurs) 
spółka]],0)</f>
        <v>0</v>
      </c>
      <c r="BG10" s="296">
        <f>Kalkulacja[[#This Row],[Jednostka]]</f>
        <v>0</v>
      </c>
      <c r="BH10" s="296">
        <f>Kalkulacja[[#This Row],[Przychód z odsprzedaży]]+Kalkulacja[[#This Row],[Koszt zagospodarowania/usługi Spółki]]</f>
        <v>0</v>
      </c>
      <c r="BI10" s="296">
        <f>Kalkulacja[[#This Row],[Koszt transportu (zł/Mg)
spółka]]+Kalkulacja[[#This Row],[Koszt transportu do instalacji (zł/Mg)
spółka]]</f>
        <v>0</v>
      </c>
      <c r="BJ10" s="296">
        <f>Kalkulacja[[#This Row],[Koszt zagospodarowania/usługi]]+Kalkulacja[[#This Row],[Przychód z odsprzedaży Spółki]]-Kalkulacja[[#This Row],[Suma kosztów Spółki
(odpady)]]</f>
        <v>0</v>
      </c>
      <c r="BK10" s="296">
        <f>Kalkulacja[[#This Row],[Koszt transportu (zł/Mg)]]-Kalkulacja[[#This Row],[Koszt transportu (zł/Mg)
spółka]]+Kalkulacja[[#This Row],[Koszt transportu (zł/Mg) ]]-Kalkulacja[[#This Row],[Koszt transportu do instalacji (zł/Mg)
spółka]]</f>
        <v>0</v>
      </c>
      <c r="BL10" s="444"/>
      <c r="BM10" s="296"/>
      <c r="BN10" s="297"/>
      <c r="BO10" s="298"/>
      <c r="BP10" s="444"/>
      <c r="BQ10" s="299" t="e">
        <f>Kalkulacja[[#This Row],[Zysk Spółki
(odpady)
 (PLN/rok)]]/Kalkulacja[[#This Row],[Obrót Spółki 
(odpady)
 (PLN/rok)]]</f>
        <v>#DIV/0!</v>
      </c>
      <c r="BR10" s="299" t="e">
        <f>Kalkulacja[[#This Row],[Zysk Spółki
(transport)
 (PLN/rok)]]/Kalkulacja[[#This Row],[Obrót Spółki 
(transport)
 (PLN/rok)]]</f>
        <v>#DIV/0!</v>
      </c>
      <c r="BS10" s="296">
        <f>(Kalkulacja[[#This Row],[Koszt zagospodarowania/usługi]]+Kalkulacja[[#This Row],[Przychód z odsprzedaży Spółki]])*Kalkulacja[[#This Row],[Szacunkowa ilość odpadu dla Spółki
(Mg/rok)]]</f>
        <v>0</v>
      </c>
      <c r="BT10" s="296">
        <f>(Kalkulacja[[#This Row],[Koszt transportu (zł/Mg)]]+Kalkulacja[[#This Row],[Koszt transportu (zł/Mg) ]])*Kalkulacja[[#This Row],[Szacunkowa ilość odpadu dla Spółki
(Mg/rok)]]</f>
        <v>0</v>
      </c>
      <c r="BU10" s="296">
        <f>Kalkulacja[[#This Row],[Marża Spółki
(odpady)]]*Kalkulacja[[#This Row],[Szacunkowa ilość odpadu dla Spółki
(Mg/rok)]]</f>
        <v>0</v>
      </c>
      <c r="BV10" s="296">
        <f>Kalkulacja[[#This Row],[Marża Spółki
(transport)]]*Kalkulacja[[#This Row],[Szacunkowa ilość odpadu dla Spółki
(Mg/rok)]]</f>
        <v>0</v>
      </c>
      <c r="BW10" s="296">
        <f>Kalkulacja[[#This Row],[Przychód z odsprzedaży]]*Kalkulacja[[#This Row],[Szacunkowa ilość odpadu dla Spółki
(Mg/rok)]]</f>
        <v>0</v>
      </c>
      <c r="BX10" s="296">
        <f>Kalkulacja[[#This Row],[Obrót Spółki 
(transport)
 (PLN/rok)]]+Kalkulacja[[#This Row],[Koszt zagospodarowania/usługi]]*Kalkulacja[[#This Row],[Szacunkowa ilość odpadu dla Spółki
(Mg/rok)]]</f>
        <v>0</v>
      </c>
      <c r="BY10" s="296">
        <f>Kalkulacja[[#This Row],[Szacunkowa ilość odpadu (Mg/rok)]]</f>
        <v>0</v>
      </c>
      <c r="BZ10" s="296" t="str">
        <f>IF(Kalkulacja[[#This Row],[SPÓŁKA]]="TAK",IF(Kalkulacja[[#This Row],[Przychód z odsprzedaży]]&lt;&gt;0,$CZ$2,IF(Kalkulacja[[#This Row],[Koszt zagospodarowania/usługi]]&lt;&gt;0,$CZ$3,"")),"")</f>
        <v/>
      </c>
      <c r="CA10" s="489"/>
      <c r="CB10" s="293"/>
      <c r="CC10" s="300"/>
      <c r="CD10" s="301">
        <f>IFERROR(Kalkulacja[[#This Row],[Transport (zł/kurs)]]/Kalkulacja[[#This Row],[Partia transportowa (Mg/kurs)]],0)</f>
        <v>0</v>
      </c>
      <c r="CE10" s="293"/>
      <c r="CF10" s="300"/>
      <c r="CG10" s="301">
        <f>IFERROR(Kalkulacja[[#This Row],[Transport  (zł/kurs)]]/Kalkulacja[[#This Row],[Partia transportowa (Mg/kurs) ]],0)</f>
        <v>0</v>
      </c>
      <c r="CH10" s="293"/>
      <c r="CI10" s="302">
        <f>IFERROR(Kalkulacja[[#This Row],[Dzierżawa (zł/m-c)]]*12/Kalkulacja[[#This Row],[Szacunkowa ilość odpadu /rok]],0)</f>
        <v>0</v>
      </c>
      <c r="CJ10" s="303"/>
      <c r="CK10" s="301">
        <f>Obsluga_sprzet[[#Totals],[Koszt roczny w przeliczeniu na tonę (zł/Mg)]]</f>
        <v>0</v>
      </c>
      <c r="CL10" s="301">
        <f>IFERROR(Obsluga_ludzie[[#Totals],[Koszt roczny w przeliczeniu na tonę (zł/Mg)]],0)</f>
        <v>0</v>
      </c>
      <c r="CM10" s="489"/>
      <c r="CN10" s="302">
        <f>Kalkulacja[[#This Row],[Jednostka]]</f>
        <v>0</v>
      </c>
      <c r="CO10" s="302">
        <f>Kalkulacja[[#This Row],[Koszt zagospodarowania/usługi]]+Kalkulacja[[#This Row],[Koszt transportu (zł/Mg)]]+Kalkulacja[[#This Row],[Koszt transportu (zł/Mg) ]]+Kalkulacja[[#This Row],[Dzierżawa (zł/Mg)]]+Kalkulacja[[#This Row],[Koszty dodatkowe (zł/Mg)]]+Kalkulacja[[#This Row],[Cena netto płaci SUEZ]]+Kalkulacja[[#This Row],[Koszt ludzi (zł/Mg)]]+Kalkulacja[[#This Row],[Koszt sprzętu (zł/Mg)]]</f>
        <v>0</v>
      </c>
      <c r="CP10" s="293">
        <f>Kalkulacja[[#This Row],[Cena netto dla Klienta]]+Kalkulacja[[#This Row],[Przychód z odsprzedaży]]-Kalkulacja[[#This Row],[Suma kosztów]]</f>
        <v>0</v>
      </c>
      <c r="CQ10" s="293"/>
      <c r="CR10" s="304">
        <f>IF(IF(Kalkulacja[[#This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(zł/Mg)]]),CR$4)-CR$3)&lt;0,0,IF(Kalkulacja[[#This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(zł/Mg)]]),CR$4)-CR$3))</f>
        <v>0</v>
      </c>
      <c r="CS10" s="305">
        <f>IF(Kalkulacja[[#This Row],[Koszt zagospodarowania/usługi]]="",IF(Kalkulacja[[#This Row],[Cena netto płaci SUEZ]]=0,ROUNDUP(((Kalkulacja[[#This Row],[Koszt transportu (zł/Mg)]]+Kalkulacja[[#This Row],[Koszt transportu (zł/Mg) ]]+Kalkulacja[[#This Row],[Koszt sprzętu (zł/Mg)]]+Kalkulacja[[#This Row],[Dzierżawa (zł/Mg)]]+Kalkulacja[[#This Row],[Koszty dodatkowe (zł/Mg)]]+Kalkulacja[[#This Row],[Koszt ludzi (zł/Mg)]])-Kalkulacja[[#This Row],[Przychód z odsprzedaży]]*(1-$CR$5))/(1-$CR$5),$CR$4)-$CR$3,0),ROUNDUP(Kalkulacja[[#This Row],[Suma kosztów]]/(1-$CS$5),$CS$4)+$CS$3)</f>
        <v>0</v>
      </c>
      <c r="CT10" s="306">
        <f>IFERROR(Kalkulacja[[#This Row],[Zysk (PLN/rok)]]/Kalkulacja[[#This Row],[Obrót (PLN/rok) ]],0)</f>
        <v>0</v>
      </c>
      <c r="CU10" s="307">
        <f>(Kalkulacja[[#This Row],[Cena netto dla Klienta]]+Kalkulacja[[#This Row],[Przychód z odsprzedaży]])*Kalkulacja[[#This Row],[Szacunkowa ilość odpadu (Mg/rok)]]</f>
        <v>0</v>
      </c>
      <c r="CV10" s="308">
        <f>Kalkulacja[[#This Row],[Marża]]*Kalkulacja[[#This Row],[Szacunkowa ilość odpadu (Mg/rok)]]</f>
        <v>0</v>
      </c>
      <c r="CW10" s="308">
        <f>IF(Kalkulacja[[#This Row],[Cena netto płaci SUEZ]]*Kalkulacja[[#This Row],[Szacunkowa ilość odpadu (Mg/rok)]]=0,0,Kalkulacja[[#This Row],[Cena netto płaci SUEZ]]*Kalkulacja[[#This Row],[Szacunkowa ilość odpadu (Mg/rok)]])</f>
        <v>0</v>
      </c>
      <c r="CX10" s="308">
        <f>IF(Kalkulacja[[#This Row],[Cena netto dla Klienta]]*Kalkulacja[[#This Row],[Szacunkowa ilość odpadu (Mg/rok)]] = 0,0,Kalkulacja[[#This Row],[Cena netto dla Klienta]]*Kalkulacja[[#This Row],[Szacunkowa ilość odpadu (Mg/rok)]])</f>
        <v>0</v>
      </c>
      <c r="CY10" s="308">
        <f>Kalkulacja[[#This Row],[Szacunkowa ilość odpadu /rok]]</f>
        <v>0</v>
      </c>
      <c r="CZ10" s="293" t="str">
        <f>IF(Kalkulacja[[#This Row],[Cena netto płaci SUEZ]]&lt;&gt;0,$CZ$2,IF(Kalkulacja[[#This Row],[Cena netto dla Klienta]]&lt;&gt;0,$CZ$3,""))</f>
        <v/>
      </c>
      <c r="DA10" s="489"/>
      <c r="DB10" s="309" t="e">
        <f>Kalkulacja[[#This Row],[Zysk SUEZ Razem '[PLN/rok']]]/Kalkulacja[[#This Row],[Obrót max (PLN/rok)]]</f>
        <v>#DIV/0!</v>
      </c>
      <c r="DC10" s="310">
        <f>Kalkulacja[[#This Row],[Zysk Spółki
(odpady)
 (PLN/rok)]]+Kalkulacja[[#This Row],[Zysk (PLN/rok)]]+Kalkulacja[[#This Row],[Zysk Spółki
(transport)
 (PLN/rok)]]</f>
        <v>0</v>
      </c>
      <c r="DD10" s="310">
        <f>IF(Kalkulacja[[#This Row],[SPÓŁKA]]="TAK",MAX(Kalkulacja[[#This Row],[Obrót (PLN/rok) ]],(Kalkulacja[[#This Row],[Obrót Spółki 
(odpady)
 (PLN/rok)]]+Kalkulacja[[#This Row],[Obrót Spółki 
(transport)
 (PLN/rok)]]),Kalkulacja[[#This Row],[Obrót (PLN/rok) ]]),Kalkulacja[[#This Row],[Obrót (PLN/rok) ]])</f>
        <v>0</v>
      </c>
      <c r="DE10" s="489"/>
    </row>
    <row r="11" spans="1:109" s="490" customFormat="1" ht="75">
      <c r="A11" s="491"/>
      <c r="B11" s="492">
        <f t="shared" ref="B11:B17" si="1">ROW()-9</f>
        <v>2</v>
      </c>
      <c r="C11" s="493"/>
      <c r="D11" s="494">
        <f>Kalkulacja[[#This Row],[Kod odpadu 
*u Klienta]]</f>
        <v>0</v>
      </c>
      <c r="E11" s="495" t="str">
        <f>IFERROR(VLOOKUP(Kalkulacja[[#This Row],[Kod odpadu *w ofercie SUEZ]],Tabela7[[Kod odpadu]:[Rodzaj odpadu]],2,0),"")</f>
        <v/>
      </c>
      <c r="F11" s="496"/>
      <c r="G11" s="497"/>
      <c r="H11" s="496"/>
      <c r="I11" s="498"/>
      <c r="J11" s="498"/>
      <c r="K11" s="499"/>
      <c r="L11" s="499"/>
      <c r="M11" s="499"/>
      <c r="N11" s="499"/>
      <c r="O11" s="499"/>
      <c r="P11" s="495" t="str">
        <f>Kalkulacja[[#This Row],[Miasto]]&amp;CHAR(10)&amp;Kalkulacja[[#This Row],[Kod pocztowy]]&amp;CHAR(10)&amp;Kalkulacja[[#This Row],[Ulica]]&amp;CHAR(10)&amp;Kalkulacja[[#This Row],[Nazwa/Numer Obiektu]]</f>
        <v xml:space="preserve">
</v>
      </c>
      <c r="Q11" s="495"/>
      <c r="R11" s="498"/>
      <c r="S11" s="498"/>
      <c r="T11" s="500">
        <f>Kalkulacja[[#This Row],[Rodzaj sprzętu (pojemniki i urządzenia) **sugerowany]]</f>
        <v>0</v>
      </c>
      <c r="U11" s="500"/>
      <c r="V11" s="498"/>
      <c r="W11" s="498"/>
      <c r="X11" s="498"/>
      <c r="Y11" s="498"/>
      <c r="Z11" s="480" t="str">
        <f>IF(Kalkulacja[[#This Row],[Postać odpadu]]&lt;&gt;"","Postać: " &amp;Kalkulacja[[#This Row],[Postać odpadu]]&amp;CHAR(10),"")&amp;IF(Kalkulacja[[#This Row],[Rodzaj sprzętu w ofercie SUEZ (pojemniki i urządzenia)]]&lt;&gt;"","Sprzęt: "&amp;Kalkulacja[[#This Row],[Rodzaj sprzętu w ofercie SUEZ (pojemniki i urządzenia)]]&amp;CHAR(10)&amp;"dla Klienta: "&amp;Kalkulacja[[#This Row],[Ilość pojemników/ sprzętu w ofercie SUEZ dla Klienta]]&amp;" własność:"&amp;Kalkulacja[[#This Row],[Własność pojemników/ sprzętu w ofercie SUEZ dla Klienta]] &amp;CHAR(10)&amp;"na wymianę: "&amp;Kalkulacja[[#This Row],[Ilość pojemników/ sprzętu na wymianę]],"") &amp; " własnośc:" &amp;Kalkulacja[[#This Row],[Własność pojemników/ sprzętu na wymianę]]</f>
        <v>Sprzęt: 0
dla Klienta:  własność:
na wymianę:  własnośc:</v>
      </c>
      <c r="AA11" s="501"/>
      <c r="AB11" s="502"/>
      <c r="AC11" s="497"/>
      <c r="AD11" s="503"/>
      <c r="AE11" s="497"/>
      <c r="AF11" s="497"/>
      <c r="AG11" s="497"/>
      <c r="AH11" s="497"/>
      <c r="AI11" s="497"/>
      <c r="AJ11" s="497"/>
      <c r="AK11" s="501"/>
      <c r="AL11" s="504"/>
      <c r="AM11" s="487" t="s">
        <v>2543</v>
      </c>
      <c r="AN11" s="496"/>
      <c r="AO11" s="496"/>
      <c r="AP11" s="496"/>
      <c r="AQ11" s="496"/>
      <c r="AR11" s="496"/>
      <c r="AS11" s="496"/>
      <c r="AT11" s="505"/>
      <c r="AU11" s="496"/>
      <c r="AV11" s="478"/>
      <c r="AW11" s="444"/>
      <c r="AX11" s="311"/>
      <c r="AY11" s="312">
        <f>Kalkulacja[[#This Row],[Przychód z odsprzedaży]]/(1-$AY$4)</f>
        <v>0</v>
      </c>
      <c r="AZ11" s="313">
        <f>Kalkulacja[[#This Row],[Koszt zagospodarowania/usługi]]*(1-$AY$4)</f>
        <v>0</v>
      </c>
      <c r="BA11" s="314">
        <f>Kalkulacja[[#This Row],[Transport (zł/kurs)]]*(1-$AZ$4)</f>
        <v>0</v>
      </c>
      <c r="BB11" s="314">
        <f>Kalkulacja[[#This Row],[Partia transportowa (Mg/kurs)]]</f>
        <v>0</v>
      </c>
      <c r="BC11" s="314">
        <f>IFERROR(Kalkulacja[[#This Row],[Transport (zł/kurs) 
spółka]]/Kalkulacja[[#This Row],[Partia transportowa (Mg/kurs)
spółka]],0)</f>
        <v>0</v>
      </c>
      <c r="BD11" s="314">
        <f>Kalkulacja[[#This Row],[Transport  (zł/kurs)]]*(1-$AZ$4)</f>
        <v>0</v>
      </c>
      <c r="BE11" s="314">
        <f>Kalkulacja[[#This Row],[Partia transportowa (Mg/kurs) ]]</f>
        <v>0</v>
      </c>
      <c r="BF11" s="314">
        <f>IFERROR(Kalkulacja[[#This Row],[Transport (zł/kurs)
spółka]]/Kalkulacja[[#This Row],[Partia transportowa (Mg/kurs) 
spółka]],0)</f>
        <v>0</v>
      </c>
      <c r="BG11" s="314">
        <f>Kalkulacja[[#This Row],[Jednostka]]</f>
        <v>0</v>
      </c>
      <c r="BH11" s="314">
        <f>Kalkulacja[[#This Row],[Przychód z odsprzedaży]]+Kalkulacja[[#This Row],[Koszt zagospodarowania/usługi Spółki]]</f>
        <v>0</v>
      </c>
      <c r="BI11" s="314">
        <f>Kalkulacja[[#This Row],[Koszt transportu (zł/Mg)
spółka]]+Kalkulacja[[#This Row],[Koszt transportu do instalacji (zł/Mg)
spółka]]</f>
        <v>0</v>
      </c>
      <c r="BJ11" s="314">
        <f>Kalkulacja[[#This Row],[Koszt zagospodarowania/usługi]]+Kalkulacja[[#This Row],[Przychód z odsprzedaży Spółki]]-Kalkulacja[[#This Row],[Suma kosztów Spółki
(odpady)]]</f>
        <v>0</v>
      </c>
      <c r="BK11" s="314">
        <f>Kalkulacja[[#This Row],[Koszt transportu (zł/Mg)]]-Kalkulacja[[#This Row],[Koszt transportu (zł/Mg)
spółka]]+Kalkulacja[[#This Row],[Koszt transportu (zł/Mg) ]]-Kalkulacja[[#This Row],[Koszt transportu do instalacji (zł/Mg)
spółka]]</f>
        <v>0</v>
      </c>
      <c r="BL11" s="444"/>
      <c r="BM11" s="314"/>
      <c r="BN11" s="315"/>
      <c r="BO11" s="316"/>
      <c r="BP11" s="444"/>
      <c r="BQ11" s="317" t="e">
        <f>Kalkulacja[[#This Row],[Zysk Spółki
(odpady)
 (PLN/rok)]]/Kalkulacja[[#This Row],[Obrót Spółki 
(odpady)
 (PLN/rok)]]</f>
        <v>#DIV/0!</v>
      </c>
      <c r="BR11" s="317" t="e">
        <f>Kalkulacja[[#This Row],[Zysk Spółki
(transport)
 (PLN/rok)]]/Kalkulacja[[#This Row],[Obrót Spółki 
(transport)
 (PLN/rok)]]</f>
        <v>#DIV/0!</v>
      </c>
      <c r="BS11" s="314">
        <f>(Kalkulacja[[#This Row],[Koszt zagospodarowania/usługi]]+Kalkulacja[[#This Row],[Przychód z odsprzedaży Spółki]])*Kalkulacja[[#This Row],[Szacunkowa ilość odpadu dla Spółki
(Mg/rok)]]</f>
        <v>0</v>
      </c>
      <c r="BT11" s="314">
        <f>(Kalkulacja[[#This Row],[Koszt transportu (zł/Mg)]]+Kalkulacja[[#This Row],[Koszt transportu (zł/Mg) ]])*Kalkulacja[[#This Row],[Szacunkowa ilość odpadu dla Spółki
(Mg/rok)]]</f>
        <v>0</v>
      </c>
      <c r="BU11" s="314">
        <f>Kalkulacja[[#This Row],[Marża Spółki
(odpady)]]*Kalkulacja[[#This Row],[Szacunkowa ilość odpadu dla Spółki
(Mg/rok)]]</f>
        <v>0</v>
      </c>
      <c r="BV11" s="314">
        <f>Kalkulacja[[#This Row],[Marża Spółki
(transport)]]*Kalkulacja[[#This Row],[Szacunkowa ilość odpadu dla Spółki
(Mg/rok)]]</f>
        <v>0</v>
      </c>
      <c r="BW11" s="314">
        <f>Kalkulacja[[#This Row],[Przychód z odsprzedaży]]*Kalkulacja[[#This Row],[Szacunkowa ilość odpadu dla Spółki
(Mg/rok)]]</f>
        <v>0</v>
      </c>
      <c r="BX11" s="296">
        <f>Kalkulacja[[#This Row],[Obrót Spółki 
(transport)
 (PLN/rok)]]+Kalkulacja[[#This Row],[Koszt zagospodarowania/usługi]]*Kalkulacja[[#This Row],[Szacunkowa ilość odpadu dla Spółki
(Mg/rok)]]</f>
        <v>0</v>
      </c>
      <c r="BY11" s="314">
        <f>Kalkulacja[[#This Row],[Szacunkowa ilość odpadu (Mg/rok)]]</f>
        <v>0</v>
      </c>
      <c r="BZ11" s="296" t="str">
        <f>IF(Kalkulacja[[#This Row],[SPÓŁKA]]="TAK",IF(Kalkulacja[[#This Row],[Przychód z odsprzedaży]]&lt;&gt;0,$CZ$2,IF(Kalkulacja[[#This Row],[Koszt zagospodarowania/usługi]]&lt;&gt;0,$CZ$3,"")),"")</f>
        <v/>
      </c>
      <c r="CA11" s="489"/>
      <c r="CB11" s="311"/>
      <c r="CC11" s="318"/>
      <c r="CD11" s="319">
        <f>IFERROR(Kalkulacja[[#This Row],[Transport (zł/kurs)]]/Kalkulacja[[#This Row],[Partia transportowa (Mg/kurs)]],0)</f>
        <v>0</v>
      </c>
      <c r="CE11" s="311"/>
      <c r="CF11" s="311"/>
      <c r="CG11" s="319">
        <f>IFERROR(Kalkulacja[[#This Row],[Transport  (zł/kurs)]]/Kalkulacja[[#This Row],[Partia transportowa (Mg/kurs) ]],0)</f>
        <v>0</v>
      </c>
      <c r="CH11" s="311"/>
      <c r="CI11" s="320">
        <f>IFERROR(Kalkulacja[[#This Row],[Dzierżawa (zł/m-c)]]*12/Kalkulacja[[#This Row],[Szacunkowa ilość odpadu /rok]],0)</f>
        <v>0</v>
      </c>
      <c r="CJ11" s="321"/>
      <c r="CK11" s="319">
        <f>Obsluga_sprzet[[#Totals],[Koszt roczny w przeliczeniu na tonę (zł/Mg)]]</f>
        <v>0</v>
      </c>
      <c r="CL11" s="319">
        <f>IFERROR(Obsluga_ludzie[[#Totals],[Koszt roczny w przeliczeniu na tonę (zł/Mg)]],0)</f>
        <v>0</v>
      </c>
      <c r="CM11" s="489"/>
      <c r="CN11" s="302">
        <f>Kalkulacja[[#This Row],[Jednostka]]</f>
        <v>0</v>
      </c>
      <c r="CO11" s="320">
        <f>Kalkulacja[[#This Row],[Koszt zagospodarowania/usługi]]+Kalkulacja[[#This Row],[Koszt transportu (zł/Mg)]]+Kalkulacja[[#This Row],[Koszt transportu (zł/Mg) ]]+Kalkulacja[[#This Row],[Dzierżawa (zł/Mg)]]+Kalkulacja[[#This Row],[Koszty dodatkowe (zł/Mg)]]+Kalkulacja[[#This Row],[Cena netto płaci SUEZ]]+Kalkulacja[[#This Row],[Koszt ludzi (zł/Mg)]]+Kalkulacja[[#This Row],[Koszt sprzętu (zł/Mg)]]</f>
        <v>0</v>
      </c>
      <c r="CP11" s="320">
        <f>Kalkulacja[[#This Row],[Cena netto dla Klienta]]+Kalkulacja[[#This Row],[Przychód z odsprzedaży]]-Kalkulacja[[#This Row],[Suma kosztów]]</f>
        <v>0</v>
      </c>
      <c r="CQ11" s="311"/>
      <c r="CR11" s="322">
        <f>IF(IF(Kalkulacja[[#This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(zł/Mg)]]),CR$4)-CR$3)&lt;0,0,IF(Kalkulacja[[#This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(zł/Mg)]]),CR$4)-CR$3))</f>
        <v>0</v>
      </c>
      <c r="CS11" s="323">
        <f>IF(Kalkulacja[[#This Row],[Koszt zagospodarowania/usługi]]="",IF(Kalkulacja[[#This Row],[Cena netto płaci SUEZ]]=0,ROUNDUP(((Kalkulacja[[#This Row],[Koszt transportu (zł/Mg)]]+Kalkulacja[[#This Row],[Koszt transportu (zł/Mg) ]]+Kalkulacja[[#This Row],[Koszt sprzętu (zł/Mg)]]+Kalkulacja[[#This Row],[Dzierżawa (zł/Mg)]]+Kalkulacja[[#This Row],[Koszty dodatkowe (zł/Mg)]]+Kalkulacja[[#This Row],[Koszt ludzi (zł/Mg)]])-Kalkulacja[[#This Row],[Przychód z odsprzedaży]]*(1-$CR$5))/(1-$CR$5),$CR$4)-$CR$3,0),ROUNDUP(Kalkulacja[[#This Row],[Suma kosztów]]/(1-$CS$5),$CS$4)+$CS$3)</f>
        <v>0</v>
      </c>
      <c r="CT11" s="306">
        <f>IFERROR(Kalkulacja[[#This Row],[Zysk (PLN/rok)]]/Kalkulacja[[#This Row],[Obrót (PLN/rok) ]],0)</f>
        <v>0</v>
      </c>
      <c r="CU11" s="324">
        <f>(Kalkulacja[[#This Row],[Cena netto dla Klienta]]+Kalkulacja[[#This Row],[Przychód z odsprzedaży]])*Kalkulacja[[#This Row],[Szacunkowa ilość odpadu (Mg/rok)]]</f>
        <v>0</v>
      </c>
      <c r="CV11" s="325">
        <f>Kalkulacja[[#This Row],[Marża]]*Kalkulacja[[#This Row],[Szacunkowa ilość odpadu (Mg/rok)]]</f>
        <v>0</v>
      </c>
      <c r="CW11" s="308">
        <f>IF(Kalkulacja[[#This Row],[Cena netto płaci SUEZ]]*Kalkulacja[[#This Row],[Szacunkowa ilość odpadu (Mg/rok)]]=0,0,Kalkulacja[[#This Row],[Cena netto płaci SUEZ]]*Kalkulacja[[#This Row],[Szacunkowa ilość odpadu (Mg/rok)]])</f>
        <v>0</v>
      </c>
      <c r="CX11" s="308">
        <f>IF(Kalkulacja[[#This Row],[Cena netto dla Klienta]]*Kalkulacja[[#This Row],[Szacunkowa ilość odpadu (Mg/rok)]] = 0,0,Kalkulacja[[#This Row],[Cena netto dla Klienta]]*Kalkulacja[[#This Row],[Szacunkowa ilość odpadu (Mg/rok)]])</f>
        <v>0</v>
      </c>
      <c r="CY11" s="325">
        <f>Kalkulacja[[#This Row],[Szacunkowa ilość odpadu /rok]]</f>
        <v>0</v>
      </c>
      <c r="CZ11" s="293" t="str">
        <f>IF(Kalkulacja[[#This Row],[Cena netto płaci SUEZ]]&lt;&gt;0,$CZ$2,IF(Kalkulacja[[#This Row],[Cena netto dla Klienta]]&lt;&gt;0,$CZ$3,""))</f>
        <v/>
      </c>
      <c r="DA11" s="489"/>
      <c r="DB11" s="326" t="e">
        <f>Kalkulacja[[#This Row],[Zysk SUEZ Razem '[PLN/rok']]]/Kalkulacja[[#This Row],[Obrót max (PLN/rok)]]</f>
        <v>#DIV/0!</v>
      </c>
      <c r="DC11" s="327">
        <f>Kalkulacja[[#This Row],[Zysk Spółki
(odpady)
 (PLN/rok)]]+Kalkulacja[[#This Row],[Zysk (PLN/rok)]]+Kalkulacja[[#This Row],[Zysk Spółki
(transport)
 (PLN/rok)]]</f>
        <v>0</v>
      </c>
      <c r="DD11" s="310">
        <f>IF(Kalkulacja[[#This Row],[SPÓŁKA]]="TAK",MAX(Kalkulacja[[#This Row],[Obrót (PLN/rok) ]],(Kalkulacja[[#This Row],[Obrót Spółki 
(odpady)
 (PLN/rok)]]+Kalkulacja[[#This Row],[Obrót Spółki 
(transport)
 (PLN/rok)]]),Kalkulacja[[#This Row],[Obrót (PLN/rok) ]]),Kalkulacja[[#This Row],[Obrót (PLN/rok) ]])</f>
        <v>0</v>
      </c>
      <c r="DE11" s="489"/>
    </row>
    <row r="12" spans="1:109" s="490" customFormat="1" ht="75">
      <c r="A12" s="491"/>
      <c r="B12" s="492">
        <f t="shared" si="1"/>
        <v>3</v>
      </c>
      <c r="C12" s="493"/>
      <c r="D12" s="494">
        <f>Kalkulacja[[#This Row],[Kod odpadu 
*u Klienta]]</f>
        <v>0</v>
      </c>
      <c r="E12" s="495" t="str">
        <f>IFERROR(VLOOKUP(Kalkulacja[[#This Row],[Kod odpadu *w ofercie SUEZ]],Tabela7[[Kod odpadu]:[Rodzaj odpadu]],2,0),"")</f>
        <v/>
      </c>
      <c r="F12" s="496"/>
      <c r="G12" s="497"/>
      <c r="H12" s="496"/>
      <c r="I12" s="498"/>
      <c r="J12" s="498"/>
      <c r="K12" s="499"/>
      <c r="L12" s="499"/>
      <c r="M12" s="499"/>
      <c r="N12" s="499"/>
      <c r="O12" s="499"/>
      <c r="P12" s="495" t="str">
        <f>Kalkulacja[[#This Row],[Miasto]]&amp;CHAR(10)&amp;Kalkulacja[[#This Row],[Kod pocztowy]]&amp;CHAR(10)&amp;Kalkulacja[[#This Row],[Ulica]]&amp;CHAR(10)&amp;Kalkulacja[[#This Row],[Nazwa/Numer Obiektu]]</f>
        <v xml:space="preserve">
</v>
      </c>
      <c r="Q12" s="495"/>
      <c r="R12" s="498"/>
      <c r="S12" s="498"/>
      <c r="T12" s="500">
        <f>Kalkulacja[[#This Row],[Rodzaj sprzętu (pojemniki i urządzenia) **sugerowany]]</f>
        <v>0</v>
      </c>
      <c r="U12" s="500"/>
      <c r="V12" s="498"/>
      <c r="W12" s="498"/>
      <c r="X12" s="498"/>
      <c r="Y12" s="498"/>
      <c r="Z12" s="480" t="str">
        <f>IF(Kalkulacja[[#This Row],[Postać odpadu]]&lt;&gt;"","Postać: " &amp;Kalkulacja[[#This Row],[Postać odpadu]]&amp;CHAR(10),"")&amp;IF(Kalkulacja[[#This Row],[Rodzaj sprzętu w ofercie SUEZ (pojemniki i urządzenia)]]&lt;&gt;"","Sprzęt: "&amp;Kalkulacja[[#This Row],[Rodzaj sprzętu w ofercie SUEZ (pojemniki i urządzenia)]]&amp;CHAR(10)&amp;"dla Klienta: "&amp;Kalkulacja[[#This Row],[Ilość pojemników/ sprzętu w ofercie SUEZ dla Klienta]]&amp;" własność:"&amp;Kalkulacja[[#This Row],[Własność pojemników/ sprzętu w ofercie SUEZ dla Klienta]] &amp;CHAR(10)&amp;"na wymianę: "&amp;Kalkulacja[[#This Row],[Ilość pojemników/ sprzętu na wymianę]],"") &amp; " własnośc:" &amp;Kalkulacja[[#This Row],[Własność pojemników/ sprzętu na wymianę]]</f>
        <v>Sprzęt: 0
dla Klienta:  własność:
na wymianę:  własnośc:</v>
      </c>
      <c r="AA12" s="501"/>
      <c r="AB12" s="502"/>
      <c r="AC12" s="497"/>
      <c r="AD12" s="497"/>
      <c r="AE12" s="497"/>
      <c r="AF12" s="497"/>
      <c r="AG12" s="497"/>
      <c r="AH12" s="497"/>
      <c r="AI12" s="497"/>
      <c r="AJ12" s="497"/>
      <c r="AK12" s="501"/>
      <c r="AL12" s="504"/>
      <c r="AM12" s="487" t="s">
        <v>2543</v>
      </c>
      <c r="AN12" s="496"/>
      <c r="AO12" s="496"/>
      <c r="AP12" s="496"/>
      <c r="AQ12" s="496"/>
      <c r="AR12" s="496"/>
      <c r="AS12" s="496"/>
      <c r="AT12" s="505"/>
      <c r="AU12" s="496"/>
      <c r="AV12" s="478"/>
      <c r="AW12" s="444"/>
      <c r="AX12" s="311"/>
      <c r="AY12" s="312">
        <f>Kalkulacja[[#This Row],[Przychód z odsprzedaży]]/(1-$AY$4)</f>
        <v>0</v>
      </c>
      <c r="AZ12" s="313">
        <f>Kalkulacja[[#This Row],[Koszt zagospodarowania/usługi]]*(1-$AY$4)</f>
        <v>0</v>
      </c>
      <c r="BA12" s="314">
        <f>Kalkulacja[[#This Row],[Transport (zł/kurs)]]*(1-$AZ$4)</f>
        <v>0</v>
      </c>
      <c r="BB12" s="314">
        <f>Kalkulacja[[#This Row],[Partia transportowa (Mg/kurs)]]</f>
        <v>0</v>
      </c>
      <c r="BC12" s="314">
        <f>IFERROR(Kalkulacja[[#This Row],[Transport (zł/kurs) 
spółka]]/Kalkulacja[[#This Row],[Partia transportowa (Mg/kurs)
spółka]],0)</f>
        <v>0</v>
      </c>
      <c r="BD12" s="314">
        <f>Kalkulacja[[#This Row],[Transport  (zł/kurs)]]*(1-$AZ$4)</f>
        <v>0</v>
      </c>
      <c r="BE12" s="314">
        <f>Kalkulacja[[#This Row],[Partia transportowa (Mg/kurs) ]]</f>
        <v>0</v>
      </c>
      <c r="BF12" s="314">
        <f>IFERROR(Kalkulacja[[#This Row],[Transport (zł/kurs)
spółka]]/Kalkulacja[[#This Row],[Partia transportowa (Mg/kurs) 
spółka]],0)</f>
        <v>0</v>
      </c>
      <c r="BG12" s="314">
        <f>Kalkulacja[[#This Row],[Jednostka]]</f>
        <v>0</v>
      </c>
      <c r="BH12" s="314">
        <f>Kalkulacja[[#This Row],[Przychód z odsprzedaży]]+Kalkulacja[[#This Row],[Koszt zagospodarowania/usługi Spółki]]</f>
        <v>0</v>
      </c>
      <c r="BI12" s="314">
        <f>Kalkulacja[[#This Row],[Koszt transportu (zł/Mg)
spółka]]+Kalkulacja[[#This Row],[Koszt transportu do instalacji (zł/Mg)
spółka]]</f>
        <v>0</v>
      </c>
      <c r="BJ12" s="314">
        <f>Kalkulacja[[#This Row],[Koszt zagospodarowania/usługi]]+Kalkulacja[[#This Row],[Przychód z odsprzedaży Spółki]]-Kalkulacja[[#This Row],[Suma kosztów Spółki
(odpady)]]</f>
        <v>0</v>
      </c>
      <c r="BK12" s="314">
        <f>Kalkulacja[[#This Row],[Koszt transportu (zł/Mg)]]-Kalkulacja[[#This Row],[Koszt transportu (zł/Mg)
spółka]]+Kalkulacja[[#This Row],[Koszt transportu (zł/Mg) ]]-Kalkulacja[[#This Row],[Koszt transportu do instalacji (zł/Mg)
spółka]]</f>
        <v>0</v>
      </c>
      <c r="BL12" s="444"/>
      <c r="BM12" s="314"/>
      <c r="BN12" s="315"/>
      <c r="BO12" s="316"/>
      <c r="BP12" s="444"/>
      <c r="BQ12" s="317" t="e">
        <f>Kalkulacja[[#This Row],[Zysk Spółki
(odpady)
 (PLN/rok)]]/Kalkulacja[[#This Row],[Obrót Spółki 
(odpady)
 (PLN/rok)]]</f>
        <v>#DIV/0!</v>
      </c>
      <c r="BR12" s="317" t="e">
        <f>Kalkulacja[[#This Row],[Zysk Spółki
(transport)
 (PLN/rok)]]/Kalkulacja[[#This Row],[Obrót Spółki 
(transport)
 (PLN/rok)]]</f>
        <v>#DIV/0!</v>
      </c>
      <c r="BS12" s="314">
        <f>(Kalkulacja[[#This Row],[Koszt zagospodarowania/usługi]]+Kalkulacja[[#This Row],[Przychód z odsprzedaży Spółki]])*Kalkulacja[[#This Row],[Szacunkowa ilość odpadu dla Spółki
(Mg/rok)]]</f>
        <v>0</v>
      </c>
      <c r="BT12" s="314">
        <f>(Kalkulacja[[#This Row],[Koszt transportu (zł/Mg)]]+Kalkulacja[[#This Row],[Koszt transportu (zł/Mg) ]])*Kalkulacja[[#This Row],[Szacunkowa ilość odpadu dla Spółki
(Mg/rok)]]</f>
        <v>0</v>
      </c>
      <c r="BU12" s="314">
        <f>Kalkulacja[[#This Row],[Marża Spółki
(odpady)]]*Kalkulacja[[#This Row],[Szacunkowa ilość odpadu dla Spółki
(Mg/rok)]]</f>
        <v>0</v>
      </c>
      <c r="BV12" s="314">
        <f>Kalkulacja[[#This Row],[Marża Spółki
(transport)]]*Kalkulacja[[#This Row],[Szacunkowa ilość odpadu dla Spółki
(Mg/rok)]]</f>
        <v>0</v>
      </c>
      <c r="BW12" s="314">
        <f>Kalkulacja[[#This Row],[Przychód z odsprzedaży]]*Kalkulacja[[#This Row],[Szacunkowa ilość odpadu dla Spółki
(Mg/rok)]]</f>
        <v>0</v>
      </c>
      <c r="BX12" s="296">
        <f>Kalkulacja[[#This Row],[Obrót Spółki 
(transport)
 (PLN/rok)]]+Kalkulacja[[#This Row],[Koszt zagospodarowania/usługi]]*Kalkulacja[[#This Row],[Szacunkowa ilość odpadu dla Spółki
(Mg/rok)]]</f>
        <v>0</v>
      </c>
      <c r="BY12" s="314">
        <f>Kalkulacja[[#This Row],[Szacunkowa ilość odpadu (Mg/rok)]]</f>
        <v>0</v>
      </c>
      <c r="BZ12" s="296" t="str">
        <f>IF(Kalkulacja[[#This Row],[SPÓŁKA]]="TAK",IF(Kalkulacja[[#This Row],[Przychód z odsprzedaży]]&lt;&gt;0,$CZ$2,IF(Kalkulacja[[#This Row],[Koszt zagospodarowania/usługi]]&lt;&gt;0,$CZ$3,"")),"")</f>
        <v/>
      </c>
      <c r="CA12" s="489"/>
      <c r="CB12" s="311"/>
      <c r="CC12" s="318"/>
      <c r="CD12" s="319">
        <f>IFERROR(Kalkulacja[[#This Row],[Transport (zł/kurs)]]/Kalkulacja[[#This Row],[Partia transportowa (Mg/kurs)]],0)</f>
        <v>0</v>
      </c>
      <c r="CE12" s="311"/>
      <c r="CF12" s="311"/>
      <c r="CG12" s="319">
        <f>IFERROR(Kalkulacja[[#This Row],[Transport  (zł/kurs)]]/Kalkulacja[[#This Row],[Partia transportowa (Mg/kurs) ]],0)</f>
        <v>0</v>
      </c>
      <c r="CH12" s="311"/>
      <c r="CI12" s="320">
        <f>IFERROR(Kalkulacja[[#This Row],[Dzierżawa (zł/m-c)]]*12/Kalkulacja[[#This Row],[Szacunkowa ilość odpadu /rok]],0)</f>
        <v>0</v>
      </c>
      <c r="CJ12" s="321"/>
      <c r="CK12" s="319">
        <f>Obsluga_sprzet[[#Totals],[Koszt roczny w przeliczeniu na tonę (zł/Mg)]]</f>
        <v>0</v>
      </c>
      <c r="CL12" s="319">
        <f>IFERROR(Obsluga_ludzie[[#Totals],[Koszt roczny w przeliczeniu na tonę (zł/Mg)]],0)</f>
        <v>0</v>
      </c>
      <c r="CM12" s="489"/>
      <c r="CN12" s="302">
        <f>Kalkulacja[[#This Row],[Jednostka]]</f>
        <v>0</v>
      </c>
      <c r="CO12" s="320">
        <f>Kalkulacja[[#This Row],[Koszt zagospodarowania/usługi]]+Kalkulacja[[#This Row],[Koszt transportu (zł/Mg)]]+Kalkulacja[[#This Row],[Koszt transportu (zł/Mg) ]]+Kalkulacja[[#This Row],[Dzierżawa (zł/Mg)]]+Kalkulacja[[#This Row],[Koszty dodatkowe (zł/Mg)]]+Kalkulacja[[#This Row],[Cena netto płaci SUEZ]]+Kalkulacja[[#This Row],[Koszt ludzi (zł/Mg)]]+Kalkulacja[[#This Row],[Koszt sprzętu (zł/Mg)]]</f>
        <v>0</v>
      </c>
      <c r="CP12" s="320">
        <f>Kalkulacja[[#This Row],[Cena netto dla Klienta]]+Kalkulacja[[#This Row],[Przychód z odsprzedaży]]-Kalkulacja[[#This Row],[Suma kosztów]]</f>
        <v>0</v>
      </c>
      <c r="CQ12" s="311"/>
      <c r="CR12" s="322">
        <f>IF(IF(Kalkulacja[[#This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(zł/Mg)]]),CR$4)-CR$3)&lt;0,0,IF(Kalkulacja[[#This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(zł/Mg)]]),CR$4)-CR$3))</f>
        <v>0</v>
      </c>
      <c r="CS12" s="323">
        <f>IF(Kalkulacja[[#This Row],[Koszt zagospodarowania/usługi]]="",IF(Kalkulacja[[#This Row],[Cena netto płaci SUEZ]]=0,ROUNDUP(((Kalkulacja[[#This Row],[Koszt transportu (zł/Mg)]]+Kalkulacja[[#This Row],[Koszt transportu (zł/Mg) ]]+Kalkulacja[[#This Row],[Koszt sprzętu (zł/Mg)]]+Kalkulacja[[#This Row],[Dzierżawa (zł/Mg)]]+Kalkulacja[[#This Row],[Koszty dodatkowe (zł/Mg)]]+Kalkulacja[[#This Row],[Koszt ludzi (zł/Mg)]])-Kalkulacja[[#This Row],[Przychód z odsprzedaży]]*(1-$CR$5))/(1-$CR$5),$CR$4)-$CR$3,0),ROUNDUP(Kalkulacja[[#This Row],[Suma kosztów]]/(1-$CS$5),$CS$4)+$CS$3)</f>
        <v>0</v>
      </c>
      <c r="CT12" s="306">
        <f>IFERROR(Kalkulacja[[#This Row],[Zysk (PLN/rok)]]/Kalkulacja[[#This Row],[Obrót (PLN/rok) ]],0)</f>
        <v>0</v>
      </c>
      <c r="CU12" s="324">
        <f>(Kalkulacja[[#This Row],[Cena netto dla Klienta]]+Kalkulacja[[#This Row],[Przychód z odsprzedaży]])*Kalkulacja[[#This Row],[Szacunkowa ilość odpadu (Mg/rok)]]</f>
        <v>0</v>
      </c>
      <c r="CV12" s="325">
        <f>Kalkulacja[[#This Row],[Marża]]*Kalkulacja[[#This Row],[Szacunkowa ilość odpadu (Mg/rok)]]</f>
        <v>0</v>
      </c>
      <c r="CW12" s="308">
        <f>IF(Kalkulacja[[#This Row],[Cena netto płaci SUEZ]]*Kalkulacja[[#This Row],[Szacunkowa ilość odpadu (Mg/rok)]]=0,0,Kalkulacja[[#This Row],[Cena netto płaci SUEZ]]*Kalkulacja[[#This Row],[Szacunkowa ilość odpadu (Mg/rok)]])</f>
        <v>0</v>
      </c>
      <c r="CX12" s="308">
        <f>IF(Kalkulacja[[#This Row],[Cena netto dla Klienta]]*Kalkulacja[[#This Row],[Szacunkowa ilość odpadu (Mg/rok)]] = 0,0,Kalkulacja[[#This Row],[Cena netto dla Klienta]]*Kalkulacja[[#This Row],[Szacunkowa ilość odpadu (Mg/rok)]])</f>
        <v>0</v>
      </c>
      <c r="CY12" s="325">
        <f>Kalkulacja[[#This Row],[Szacunkowa ilość odpadu /rok]]</f>
        <v>0</v>
      </c>
      <c r="CZ12" s="320" t="str">
        <f>IF(Kalkulacja[[#This Row],[Cena netto płaci SUEZ]]&lt;&gt;0,$CZ$2,IF(Kalkulacja[[#This Row],[Cena netto dla Klienta]]&lt;&gt;0,$CZ$3,""))</f>
        <v/>
      </c>
      <c r="DA12" s="489"/>
      <c r="DB12" s="326" t="e">
        <f>Kalkulacja[[#This Row],[Zysk SUEZ Razem '[PLN/rok']]]/Kalkulacja[[#This Row],[Obrót max (PLN/rok)]]</f>
        <v>#DIV/0!</v>
      </c>
      <c r="DC12" s="327">
        <f>Kalkulacja[[#This Row],[Zysk Spółki
(odpady)
 (PLN/rok)]]+Kalkulacja[[#This Row],[Zysk (PLN/rok)]]+Kalkulacja[[#This Row],[Zysk Spółki
(transport)
 (PLN/rok)]]</f>
        <v>0</v>
      </c>
      <c r="DD12" s="310">
        <f>IF(Kalkulacja[[#This Row],[SPÓŁKA]]="TAK",MAX(Kalkulacja[[#This Row],[Obrót (PLN/rok) ]],(Kalkulacja[[#This Row],[Obrót Spółki 
(odpady)
 (PLN/rok)]]+Kalkulacja[[#This Row],[Obrót Spółki 
(transport)
 (PLN/rok)]]),Kalkulacja[[#This Row],[Obrót (PLN/rok) ]]),Kalkulacja[[#This Row],[Obrót (PLN/rok) ]])</f>
        <v>0</v>
      </c>
      <c r="DE12" s="489"/>
    </row>
    <row r="13" spans="1:109" s="490" customFormat="1" ht="75">
      <c r="A13" s="491"/>
      <c r="B13" s="492">
        <f t="shared" si="1"/>
        <v>4</v>
      </c>
      <c r="C13" s="493"/>
      <c r="D13" s="494">
        <f>Kalkulacja[[#This Row],[Kod odpadu 
*u Klienta]]</f>
        <v>0</v>
      </c>
      <c r="E13" s="495" t="str">
        <f>IFERROR(VLOOKUP(Kalkulacja[[#This Row],[Kod odpadu *w ofercie SUEZ]],Tabela7[[Kod odpadu]:[Rodzaj odpadu]],2,0),"")</f>
        <v/>
      </c>
      <c r="F13" s="496"/>
      <c r="G13" s="497"/>
      <c r="H13" s="496"/>
      <c r="I13" s="498"/>
      <c r="J13" s="498"/>
      <c r="K13" s="499"/>
      <c r="L13" s="499"/>
      <c r="M13" s="499"/>
      <c r="N13" s="499"/>
      <c r="O13" s="499"/>
      <c r="P13" s="495" t="str">
        <f>Kalkulacja[[#This Row],[Miasto]]&amp;CHAR(10)&amp;Kalkulacja[[#This Row],[Kod pocztowy]]&amp;CHAR(10)&amp;Kalkulacja[[#This Row],[Ulica]]&amp;CHAR(10)&amp;Kalkulacja[[#This Row],[Nazwa/Numer Obiektu]]</f>
        <v xml:space="preserve">
</v>
      </c>
      <c r="Q13" s="495"/>
      <c r="R13" s="498"/>
      <c r="S13" s="498"/>
      <c r="T13" s="500">
        <f>Kalkulacja[[#This Row],[Rodzaj sprzętu (pojemniki i urządzenia) **sugerowany]]</f>
        <v>0</v>
      </c>
      <c r="U13" s="500"/>
      <c r="V13" s="498"/>
      <c r="W13" s="498"/>
      <c r="X13" s="498"/>
      <c r="Y13" s="498"/>
      <c r="Z13" s="480" t="str">
        <f>IF(Kalkulacja[[#This Row],[Postać odpadu]]&lt;&gt;"","Postać: " &amp;Kalkulacja[[#This Row],[Postać odpadu]]&amp;CHAR(10),"")&amp;IF(Kalkulacja[[#This Row],[Rodzaj sprzętu w ofercie SUEZ (pojemniki i urządzenia)]]&lt;&gt;"","Sprzęt: "&amp;Kalkulacja[[#This Row],[Rodzaj sprzętu w ofercie SUEZ (pojemniki i urządzenia)]]&amp;CHAR(10)&amp;"dla Klienta: "&amp;Kalkulacja[[#This Row],[Ilość pojemników/ sprzętu w ofercie SUEZ dla Klienta]]&amp;" własność:"&amp;Kalkulacja[[#This Row],[Własność pojemników/ sprzętu w ofercie SUEZ dla Klienta]] &amp;CHAR(10)&amp;"na wymianę: "&amp;Kalkulacja[[#This Row],[Ilość pojemników/ sprzętu na wymianę]],"") &amp; " własnośc:" &amp;Kalkulacja[[#This Row],[Własność pojemników/ sprzętu na wymianę]]</f>
        <v>Sprzęt: 0
dla Klienta:  własność:
na wymianę:  własnośc:</v>
      </c>
      <c r="AA13" s="501"/>
      <c r="AB13" s="502"/>
      <c r="AC13" s="497"/>
      <c r="AD13" s="497"/>
      <c r="AE13" s="497"/>
      <c r="AF13" s="497"/>
      <c r="AG13" s="497"/>
      <c r="AH13" s="497"/>
      <c r="AI13" s="497"/>
      <c r="AJ13" s="497"/>
      <c r="AK13" s="501"/>
      <c r="AL13" s="504"/>
      <c r="AM13" s="487" t="s">
        <v>2543</v>
      </c>
      <c r="AN13" s="496"/>
      <c r="AO13" s="496"/>
      <c r="AP13" s="496"/>
      <c r="AQ13" s="496"/>
      <c r="AR13" s="496"/>
      <c r="AS13" s="496"/>
      <c r="AT13" s="505"/>
      <c r="AU13" s="496"/>
      <c r="AV13" s="478"/>
      <c r="AW13" s="444"/>
      <c r="AX13" s="311"/>
      <c r="AY13" s="312">
        <f>Kalkulacja[[#This Row],[Przychód z odsprzedaży]]/(1-$AY$4)</f>
        <v>0</v>
      </c>
      <c r="AZ13" s="313">
        <f>Kalkulacja[[#This Row],[Koszt zagospodarowania/usługi]]*(1-$AY$4)</f>
        <v>0</v>
      </c>
      <c r="BA13" s="314">
        <f>Kalkulacja[[#This Row],[Transport (zł/kurs)]]*(1-$AZ$4)</f>
        <v>0</v>
      </c>
      <c r="BB13" s="314">
        <f>Kalkulacja[[#This Row],[Partia transportowa (Mg/kurs)]]</f>
        <v>0</v>
      </c>
      <c r="BC13" s="314">
        <f>IFERROR(Kalkulacja[[#This Row],[Transport (zł/kurs) 
spółka]]/Kalkulacja[[#This Row],[Partia transportowa (Mg/kurs)
spółka]],0)</f>
        <v>0</v>
      </c>
      <c r="BD13" s="314">
        <f>Kalkulacja[[#This Row],[Transport  (zł/kurs)]]*(1-$AZ$4)</f>
        <v>0</v>
      </c>
      <c r="BE13" s="314">
        <f>Kalkulacja[[#This Row],[Partia transportowa (Mg/kurs) ]]</f>
        <v>0</v>
      </c>
      <c r="BF13" s="314">
        <f>IFERROR(Kalkulacja[[#This Row],[Transport (zł/kurs)
spółka]]/Kalkulacja[[#This Row],[Partia transportowa (Mg/kurs) 
spółka]],0)</f>
        <v>0</v>
      </c>
      <c r="BG13" s="314">
        <f>Kalkulacja[[#This Row],[Jednostka]]</f>
        <v>0</v>
      </c>
      <c r="BH13" s="314">
        <f>Kalkulacja[[#This Row],[Przychód z odsprzedaży]]+Kalkulacja[[#This Row],[Koszt zagospodarowania/usługi Spółki]]</f>
        <v>0</v>
      </c>
      <c r="BI13" s="314">
        <f>Kalkulacja[[#This Row],[Koszt transportu (zł/Mg)
spółka]]+Kalkulacja[[#This Row],[Koszt transportu do instalacji (zł/Mg)
spółka]]</f>
        <v>0</v>
      </c>
      <c r="BJ13" s="314">
        <f>Kalkulacja[[#This Row],[Koszt zagospodarowania/usługi]]+Kalkulacja[[#This Row],[Przychód z odsprzedaży Spółki]]-Kalkulacja[[#This Row],[Suma kosztów Spółki
(odpady)]]</f>
        <v>0</v>
      </c>
      <c r="BK13" s="314">
        <f>Kalkulacja[[#This Row],[Koszt transportu (zł/Mg)]]-Kalkulacja[[#This Row],[Koszt transportu (zł/Mg)
spółka]]+Kalkulacja[[#This Row],[Koszt transportu (zł/Mg) ]]-Kalkulacja[[#This Row],[Koszt transportu do instalacji (zł/Mg)
spółka]]</f>
        <v>0</v>
      </c>
      <c r="BL13" s="444"/>
      <c r="BM13" s="314"/>
      <c r="BN13" s="315"/>
      <c r="BO13" s="316"/>
      <c r="BP13" s="444"/>
      <c r="BQ13" s="317" t="e">
        <f>Kalkulacja[[#This Row],[Zysk Spółki
(odpady)
 (PLN/rok)]]/Kalkulacja[[#This Row],[Obrót Spółki 
(odpady)
 (PLN/rok)]]</f>
        <v>#DIV/0!</v>
      </c>
      <c r="BR13" s="317" t="e">
        <f>Kalkulacja[[#This Row],[Zysk Spółki
(transport)
 (PLN/rok)]]/Kalkulacja[[#This Row],[Obrót Spółki 
(transport)
 (PLN/rok)]]</f>
        <v>#DIV/0!</v>
      </c>
      <c r="BS13" s="314">
        <f>(Kalkulacja[[#This Row],[Koszt zagospodarowania/usługi]]+Kalkulacja[[#This Row],[Przychód z odsprzedaży Spółki]])*Kalkulacja[[#This Row],[Szacunkowa ilość odpadu dla Spółki
(Mg/rok)]]</f>
        <v>0</v>
      </c>
      <c r="BT13" s="314">
        <f>(Kalkulacja[[#This Row],[Koszt transportu (zł/Mg)]]+Kalkulacja[[#This Row],[Koszt transportu (zł/Mg) ]])*Kalkulacja[[#This Row],[Szacunkowa ilość odpadu dla Spółki
(Mg/rok)]]</f>
        <v>0</v>
      </c>
      <c r="BU13" s="314">
        <f>Kalkulacja[[#This Row],[Marża Spółki
(odpady)]]*Kalkulacja[[#This Row],[Szacunkowa ilość odpadu dla Spółki
(Mg/rok)]]</f>
        <v>0</v>
      </c>
      <c r="BV13" s="314">
        <f>Kalkulacja[[#This Row],[Marża Spółki
(transport)]]*Kalkulacja[[#This Row],[Szacunkowa ilość odpadu dla Spółki
(Mg/rok)]]</f>
        <v>0</v>
      </c>
      <c r="BW13" s="314">
        <f>Kalkulacja[[#This Row],[Przychód z odsprzedaży]]*Kalkulacja[[#This Row],[Szacunkowa ilość odpadu dla Spółki
(Mg/rok)]]</f>
        <v>0</v>
      </c>
      <c r="BX13" s="296">
        <f>Kalkulacja[[#This Row],[Obrót Spółki 
(transport)
 (PLN/rok)]]+Kalkulacja[[#This Row],[Koszt zagospodarowania/usługi]]*Kalkulacja[[#This Row],[Szacunkowa ilość odpadu dla Spółki
(Mg/rok)]]</f>
        <v>0</v>
      </c>
      <c r="BY13" s="314">
        <f>Kalkulacja[[#This Row],[Szacunkowa ilość odpadu (Mg/rok)]]</f>
        <v>0</v>
      </c>
      <c r="BZ13" s="296" t="str">
        <f>IF(Kalkulacja[[#This Row],[SPÓŁKA]]="TAK",IF(Kalkulacja[[#This Row],[Przychód z odsprzedaży]]&lt;&gt;0,$CZ$2,IF(Kalkulacja[[#This Row],[Koszt zagospodarowania/usługi]]&lt;&gt;0,$CZ$3,"")),"")</f>
        <v/>
      </c>
      <c r="CA13" s="489"/>
      <c r="CB13" s="311"/>
      <c r="CC13" s="318"/>
      <c r="CD13" s="319">
        <f>IFERROR(Kalkulacja[[#This Row],[Transport (zł/kurs)]]/Kalkulacja[[#This Row],[Partia transportowa (Mg/kurs)]],0)</f>
        <v>0</v>
      </c>
      <c r="CE13" s="311"/>
      <c r="CF13" s="311"/>
      <c r="CG13" s="319">
        <f>IFERROR(Kalkulacja[[#This Row],[Transport  (zł/kurs)]]/Kalkulacja[[#This Row],[Partia transportowa (Mg/kurs) ]],0)</f>
        <v>0</v>
      </c>
      <c r="CH13" s="311"/>
      <c r="CI13" s="320">
        <f>IFERROR(Kalkulacja[[#This Row],[Dzierżawa (zł/m-c)]]*12/Kalkulacja[[#This Row],[Szacunkowa ilość odpadu /rok]],0)</f>
        <v>0</v>
      </c>
      <c r="CJ13" s="321"/>
      <c r="CK13" s="319">
        <f>Obsluga_sprzet[[#Totals],[Koszt roczny w przeliczeniu na tonę (zł/Mg)]]</f>
        <v>0</v>
      </c>
      <c r="CL13" s="319">
        <f>IFERROR(Obsluga_ludzie[[#Totals],[Koszt roczny w przeliczeniu na tonę (zł/Mg)]],0)</f>
        <v>0</v>
      </c>
      <c r="CM13" s="489"/>
      <c r="CN13" s="302">
        <f>Kalkulacja[[#This Row],[Jednostka]]</f>
        <v>0</v>
      </c>
      <c r="CO13" s="320">
        <f>Kalkulacja[[#This Row],[Koszt zagospodarowania/usługi]]+Kalkulacja[[#This Row],[Koszt transportu (zł/Mg)]]+Kalkulacja[[#This Row],[Koszt transportu (zł/Mg) ]]+Kalkulacja[[#This Row],[Dzierżawa (zł/Mg)]]+Kalkulacja[[#This Row],[Koszty dodatkowe (zł/Mg)]]+Kalkulacja[[#This Row],[Cena netto płaci SUEZ]]+Kalkulacja[[#This Row],[Koszt ludzi (zł/Mg)]]+Kalkulacja[[#This Row],[Koszt sprzętu (zł/Mg)]]</f>
        <v>0</v>
      </c>
      <c r="CP13" s="320">
        <f>Kalkulacja[[#This Row],[Cena netto dla Klienta]]+Kalkulacja[[#This Row],[Przychód z odsprzedaży]]-Kalkulacja[[#This Row],[Suma kosztów]]</f>
        <v>0</v>
      </c>
      <c r="CQ13" s="311"/>
      <c r="CR13" s="322">
        <f>IF(IF(Kalkulacja[[#This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(zł/Mg)]]),CR$4)-CR$3)&lt;0,0,IF(Kalkulacja[[#This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(zł/Mg)]]),CR$4)-CR$3))</f>
        <v>0</v>
      </c>
      <c r="CS13" s="323">
        <f>IF(Kalkulacja[[#This Row],[Koszt zagospodarowania/usługi]]="",IF(Kalkulacja[[#This Row],[Cena netto płaci SUEZ]]=0,ROUNDUP(((Kalkulacja[[#This Row],[Koszt transportu (zł/Mg)]]+Kalkulacja[[#This Row],[Koszt transportu (zł/Mg) ]]+Kalkulacja[[#This Row],[Koszt sprzętu (zł/Mg)]]+Kalkulacja[[#This Row],[Dzierżawa (zł/Mg)]]+Kalkulacja[[#This Row],[Koszty dodatkowe (zł/Mg)]]+Kalkulacja[[#This Row],[Koszt ludzi (zł/Mg)]])-Kalkulacja[[#This Row],[Przychód z odsprzedaży]]*(1-$CR$5))/(1-$CR$5),$CR$4)-$CR$3,0),ROUNDUP(Kalkulacja[[#This Row],[Suma kosztów]]/(1-$CS$5),$CS$4)+$CS$3)</f>
        <v>0</v>
      </c>
      <c r="CT13" s="306">
        <f>IFERROR(Kalkulacja[[#This Row],[Zysk (PLN/rok)]]/Kalkulacja[[#This Row],[Obrót (PLN/rok) ]],0)</f>
        <v>0</v>
      </c>
      <c r="CU13" s="324">
        <f>(Kalkulacja[[#This Row],[Cena netto dla Klienta]]+Kalkulacja[[#This Row],[Przychód z odsprzedaży]])*Kalkulacja[[#This Row],[Szacunkowa ilość odpadu (Mg/rok)]]</f>
        <v>0</v>
      </c>
      <c r="CV13" s="325">
        <f>Kalkulacja[[#This Row],[Marża]]*Kalkulacja[[#This Row],[Szacunkowa ilość odpadu (Mg/rok)]]</f>
        <v>0</v>
      </c>
      <c r="CW13" s="308">
        <f>IF(Kalkulacja[[#This Row],[Cena netto płaci SUEZ]]*Kalkulacja[[#This Row],[Szacunkowa ilość odpadu (Mg/rok)]]=0,0,Kalkulacja[[#This Row],[Cena netto płaci SUEZ]]*Kalkulacja[[#This Row],[Szacunkowa ilość odpadu (Mg/rok)]])</f>
        <v>0</v>
      </c>
      <c r="CX13" s="308">
        <f>IF(Kalkulacja[[#This Row],[Cena netto dla Klienta]]*Kalkulacja[[#This Row],[Szacunkowa ilość odpadu (Mg/rok)]] = 0,0,Kalkulacja[[#This Row],[Cena netto dla Klienta]]*Kalkulacja[[#This Row],[Szacunkowa ilość odpadu (Mg/rok)]])</f>
        <v>0</v>
      </c>
      <c r="CY13" s="325">
        <f>Kalkulacja[[#This Row],[Szacunkowa ilość odpadu /rok]]</f>
        <v>0</v>
      </c>
      <c r="CZ13" s="320" t="str">
        <f>IF(Kalkulacja[[#This Row],[Cena netto płaci SUEZ]]&lt;&gt;0,$CZ$2,IF(Kalkulacja[[#This Row],[Cena netto dla Klienta]]&lt;&gt;0,$CZ$3,""))</f>
        <v/>
      </c>
      <c r="DA13" s="489"/>
      <c r="DB13" s="326" t="e">
        <f>Kalkulacja[[#This Row],[Zysk SUEZ Razem '[PLN/rok']]]/Kalkulacja[[#This Row],[Obrót max (PLN/rok)]]</f>
        <v>#DIV/0!</v>
      </c>
      <c r="DC13" s="327">
        <f>Kalkulacja[[#This Row],[Zysk Spółki
(odpady)
 (PLN/rok)]]+Kalkulacja[[#This Row],[Zysk (PLN/rok)]]+Kalkulacja[[#This Row],[Zysk Spółki
(transport)
 (PLN/rok)]]</f>
        <v>0</v>
      </c>
      <c r="DD13" s="310">
        <f>IF(Kalkulacja[[#This Row],[SPÓŁKA]]="TAK",MAX(Kalkulacja[[#This Row],[Obrót (PLN/rok) ]],(Kalkulacja[[#This Row],[Obrót Spółki 
(odpady)
 (PLN/rok)]]+Kalkulacja[[#This Row],[Obrót Spółki 
(transport)
 (PLN/rok)]]),Kalkulacja[[#This Row],[Obrót (PLN/rok) ]]),Kalkulacja[[#This Row],[Obrót (PLN/rok) ]])</f>
        <v>0</v>
      </c>
      <c r="DE13" s="489"/>
    </row>
    <row r="14" spans="1:109" s="490" customFormat="1" ht="75">
      <c r="A14" s="491"/>
      <c r="B14" s="492">
        <f t="shared" si="1"/>
        <v>5</v>
      </c>
      <c r="C14" s="493"/>
      <c r="D14" s="494">
        <f>Kalkulacja[[#This Row],[Kod odpadu 
*u Klienta]]</f>
        <v>0</v>
      </c>
      <c r="E14" s="495" t="str">
        <f>IFERROR(VLOOKUP(Kalkulacja[[#This Row],[Kod odpadu *w ofercie SUEZ]],Tabela7[[Kod odpadu]:[Rodzaj odpadu]],2,0),"")</f>
        <v/>
      </c>
      <c r="F14" s="496"/>
      <c r="G14" s="497"/>
      <c r="H14" s="496"/>
      <c r="I14" s="498"/>
      <c r="J14" s="498"/>
      <c r="K14" s="499"/>
      <c r="L14" s="499"/>
      <c r="M14" s="499"/>
      <c r="N14" s="499"/>
      <c r="O14" s="499"/>
      <c r="P14" s="495" t="str">
        <f>Kalkulacja[[#This Row],[Miasto]]&amp;CHAR(10)&amp;Kalkulacja[[#This Row],[Kod pocztowy]]&amp;CHAR(10)&amp;Kalkulacja[[#This Row],[Ulica]]&amp;CHAR(10)&amp;Kalkulacja[[#This Row],[Nazwa/Numer Obiektu]]</f>
        <v xml:space="preserve">
</v>
      </c>
      <c r="Q14" s="495"/>
      <c r="R14" s="498"/>
      <c r="S14" s="498"/>
      <c r="T14" s="500">
        <f>Kalkulacja[[#This Row],[Rodzaj sprzętu (pojemniki i urządzenia) **sugerowany]]</f>
        <v>0</v>
      </c>
      <c r="U14" s="500"/>
      <c r="V14" s="498"/>
      <c r="W14" s="498"/>
      <c r="X14" s="498"/>
      <c r="Y14" s="498"/>
      <c r="Z14" s="480" t="str">
        <f>IF(Kalkulacja[[#This Row],[Postać odpadu]]&lt;&gt;"","Postać: " &amp;Kalkulacja[[#This Row],[Postać odpadu]]&amp;CHAR(10),"")&amp;IF(Kalkulacja[[#This Row],[Rodzaj sprzętu w ofercie SUEZ (pojemniki i urządzenia)]]&lt;&gt;"","Sprzęt: "&amp;Kalkulacja[[#This Row],[Rodzaj sprzętu w ofercie SUEZ (pojemniki i urządzenia)]]&amp;CHAR(10)&amp;"dla Klienta: "&amp;Kalkulacja[[#This Row],[Ilość pojemników/ sprzętu w ofercie SUEZ dla Klienta]]&amp;" własność:"&amp;Kalkulacja[[#This Row],[Własność pojemników/ sprzętu w ofercie SUEZ dla Klienta]] &amp;CHAR(10)&amp;"na wymianę: "&amp;Kalkulacja[[#This Row],[Ilość pojemników/ sprzętu na wymianę]],"") &amp; " własnośc:" &amp;Kalkulacja[[#This Row],[Własność pojemników/ sprzętu na wymianę]]</f>
        <v>Sprzęt: 0
dla Klienta:  własność:
na wymianę:  własnośc:</v>
      </c>
      <c r="AA14" s="501"/>
      <c r="AB14" s="502"/>
      <c r="AC14" s="497"/>
      <c r="AD14" s="503"/>
      <c r="AE14" s="497"/>
      <c r="AF14" s="497"/>
      <c r="AG14" s="497"/>
      <c r="AH14" s="497"/>
      <c r="AI14" s="497"/>
      <c r="AJ14" s="497"/>
      <c r="AK14" s="501"/>
      <c r="AL14" s="504"/>
      <c r="AM14" s="487" t="s">
        <v>2543</v>
      </c>
      <c r="AN14" s="496"/>
      <c r="AO14" s="496"/>
      <c r="AP14" s="496"/>
      <c r="AQ14" s="496"/>
      <c r="AR14" s="496"/>
      <c r="AS14" s="496"/>
      <c r="AT14" s="505"/>
      <c r="AU14" s="496"/>
      <c r="AV14" s="478"/>
      <c r="AW14" s="444"/>
      <c r="AX14" s="311"/>
      <c r="AY14" s="312">
        <f>Kalkulacja[[#This Row],[Przychód z odsprzedaży]]/(1-$AY$4)</f>
        <v>0</v>
      </c>
      <c r="AZ14" s="313">
        <f>Kalkulacja[[#This Row],[Koszt zagospodarowania/usługi]]*(1-$AY$4)</f>
        <v>0</v>
      </c>
      <c r="BA14" s="314">
        <f>Kalkulacja[[#This Row],[Transport (zł/kurs)]]*(1-$AZ$4)</f>
        <v>0</v>
      </c>
      <c r="BB14" s="314">
        <f>Kalkulacja[[#This Row],[Partia transportowa (Mg/kurs)]]</f>
        <v>0</v>
      </c>
      <c r="BC14" s="314">
        <f>IFERROR(Kalkulacja[[#This Row],[Transport (zł/kurs) 
spółka]]/Kalkulacja[[#This Row],[Partia transportowa (Mg/kurs)
spółka]],0)</f>
        <v>0</v>
      </c>
      <c r="BD14" s="314">
        <f>Kalkulacja[[#This Row],[Transport  (zł/kurs)]]*(1-$AZ$4)</f>
        <v>0</v>
      </c>
      <c r="BE14" s="314">
        <f>Kalkulacja[[#This Row],[Partia transportowa (Mg/kurs) ]]</f>
        <v>0</v>
      </c>
      <c r="BF14" s="314">
        <f>IFERROR(Kalkulacja[[#This Row],[Transport (zł/kurs)
spółka]]/Kalkulacja[[#This Row],[Partia transportowa (Mg/kurs) 
spółka]],0)</f>
        <v>0</v>
      </c>
      <c r="BG14" s="314">
        <f>Kalkulacja[[#This Row],[Jednostka]]</f>
        <v>0</v>
      </c>
      <c r="BH14" s="314">
        <f>Kalkulacja[[#This Row],[Przychód z odsprzedaży]]+Kalkulacja[[#This Row],[Koszt zagospodarowania/usługi Spółki]]</f>
        <v>0</v>
      </c>
      <c r="BI14" s="314">
        <f>Kalkulacja[[#This Row],[Koszt transportu (zł/Mg)
spółka]]+Kalkulacja[[#This Row],[Koszt transportu do instalacji (zł/Mg)
spółka]]</f>
        <v>0</v>
      </c>
      <c r="BJ14" s="314">
        <f>Kalkulacja[[#This Row],[Koszt zagospodarowania/usługi]]+Kalkulacja[[#This Row],[Przychód z odsprzedaży Spółki]]-Kalkulacja[[#This Row],[Suma kosztów Spółki
(odpady)]]</f>
        <v>0</v>
      </c>
      <c r="BK14" s="314">
        <f>Kalkulacja[[#This Row],[Koszt transportu (zł/Mg)]]-Kalkulacja[[#This Row],[Koszt transportu (zł/Mg)
spółka]]+Kalkulacja[[#This Row],[Koszt transportu (zł/Mg) ]]-Kalkulacja[[#This Row],[Koszt transportu do instalacji (zł/Mg)
spółka]]</f>
        <v>0</v>
      </c>
      <c r="BL14" s="444"/>
      <c r="BM14" s="314"/>
      <c r="BN14" s="315"/>
      <c r="BO14" s="316"/>
      <c r="BP14" s="444"/>
      <c r="BQ14" s="317" t="e">
        <f>Kalkulacja[[#This Row],[Zysk Spółki
(odpady)
 (PLN/rok)]]/Kalkulacja[[#This Row],[Obrót Spółki 
(odpady)
 (PLN/rok)]]</f>
        <v>#DIV/0!</v>
      </c>
      <c r="BR14" s="317" t="e">
        <f>Kalkulacja[[#This Row],[Zysk Spółki
(transport)
 (PLN/rok)]]/Kalkulacja[[#This Row],[Obrót Spółki 
(transport)
 (PLN/rok)]]</f>
        <v>#DIV/0!</v>
      </c>
      <c r="BS14" s="314">
        <f>(Kalkulacja[[#This Row],[Koszt zagospodarowania/usługi]]+Kalkulacja[[#This Row],[Przychód z odsprzedaży Spółki]])*Kalkulacja[[#This Row],[Szacunkowa ilość odpadu dla Spółki
(Mg/rok)]]</f>
        <v>0</v>
      </c>
      <c r="BT14" s="314">
        <f>(Kalkulacja[[#This Row],[Koszt transportu (zł/Mg)]]+Kalkulacja[[#This Row],[Koszt transportu (zł/Mg) ]])*Kalkulacja[[#This Row],[Szacunkowa ilość odpadu dla Spółki
(Mg/rok)]]</f>
        <v>0</v>
      </c>
      <c r="BU14" s="314">
        <f>Kalkulacja[[#This Row],[Marża Spółki
(odpady)]]*Kalkulacja[[#This Row],[Szacunkowa ilość odpadu dla Spółki
(Mg/rok)]]</f>
        <v>0</v>
      </c>
      <c r="BV14" s="314">
        <f>Kalkulacja[[#This Row],[Marża Spółki
(transport)]]*Kalkulacja[[#This Row],[Szacunkowa ilość odpadu dla Spółki
(Mg/rok)]]</f>
        <v>0</v>
      </c>
      <c r="BW14" s="314">
        <f>Kalkulacja[[#This Row],[Przychód z odsprzedaży]]*Kalkulacja[[#This Row],[Szacunkowa ilość odpadu dla Spółki
(Mg/rok)]]</f>
        <v>0</v>
      </c>
      <c r="BX14" s="296">
        <f>Kalkulacja[[#This Row],[Obrót Spółki 
(transport)
 (PLN/rok)]]+Kalkulacja[[#This Row],[Koszt zagospodarowania/usługi]]*Kalkulacja[[#This Row],[Szacunkowa ilość odpadu dla Spółki
(Mg/rok)]]</f>
        <v>0</v>
      </c>
      <c r="BY14" s="314">
        <f>Kalkulacja[[#This Row],[Szacunkowa ilość odpadu (Mg/rok)]]</f>
        <v>0</v>
      </c>
      <c r="BZ14" s="296" t="str">
        <f>IF(Kalkulacja[[#This Row],[SPÓŁKA]]="TAK",IF(Kalkulacja[[#This Row],[Przychód z odsprzedaży]]&lt;&gt;0,$CZ$2,IF(Kalkulacja[[#This Row],[Koszt zagospodarowania/usługi]]&lt;&gt;0,$CZ$3,"")),"")</f>
        <v/>
      </c>
      <c r="CA14" s="489"/>
      <c r="CB14" s="311"/>
      <c r="CC14" s="318"/>
      <c r="CD14" s="319">
        <f>IFERROR(Kalkulacja[[#This Row],[Transport (zł/kurs)]]/Kalkulacja[[#This Row],[Partia transportowa (Mg/kurs)]],0)</f>
        <v>0</v>
      </c>
      <c r="CE14" s="311"/>
      <c r="CF14" s="311"/>
      <c r="CG14" s="319">
        <f>IFERROR(Kalkulacja[[#This Row],[Transport  (zł/kurs)]]/Kalkulacja[[#This Row],[Partia transportowa (Mg/kurs) ]],0)</f>
        <v>0</v>
      </c>
      <c r="CH14" s="311"/>
      <c r="CI14" s="320">
        <f>IFERROR(Kalkulacja[[#This Row],[Dzierżawa (zł/m-c)]]*12/Kalkulacja[[#This Row],[Szacunkowa ilość odpadu /rok]],0)</f>
        <v>0</v>
      </c>
      <c r="CJ14" s="321"/>
      <c r="CK14" s="319">
        <f>Obsluga_sprzet[[#Totals],[Koszt roczny w przeliczeniu na tonę (zł/Mg)]]</f>
        <v>0</v>
      </c>
      <c r="CL14" s="319">
        <f>IFERROR(Obsluga_ludzie[[#Totals],[Koszt roczny w przeliczeniu na tonę (zł/Mg)]],0)</f>
        <v>0</v>
      </c>
      <c r="CM14" s="489"/>
      <c r="CN14" s="302">
        <f>Kalkulacja[[#This Row],[Jednostka]]</f>
        <v>0</v>
      </c>
      <c r="CO14" s="320">
        <f>Kalkulacja[[#This Row],[Koszt zagospodarowania/usługi]]+Kalkulacja[[#This Row],[Koszt transportu (zł/Mg)]]+Kalkulacja[[#This Row],[Koszt transportu (zł/Mg) ]]+Kalkulacja[[#This Row],[Dzierżawa (zł/Mg)]]+Kalkulacja[[#This Row],[Koszty dodatkowe (zł/Mg)]]+Kalkulacja[[#This Row],[Cena netto płaci SUEZ]]+Kalkulacja[[#This Row],[Koszt ludzi (zł/Mg)]]+Kalkulacja[[#This Row],[Koszt sprzętu (zł/Mg)]]</f>
        <v>0</v>
      </c>
      <c r="CP14" s="320">
        <f>Kalkulacja[[#This Row],[Cena netto dla Klienta]]+Kalkulacja[[#This Row],[Przychód z odsprzedaży]]-Kalkulacja[[#This Row],[Suma kosztów]]</f>
        <v>0</v>
      </c>
      <c r="CQ14" s="311"/>
      <c r="CR14" s="322">
        <f>IF(IF(Kalkulacja[[#This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(zł/Mg)]]),CR$4)-CR$3)&lt;0,0,IF(Kalkulacja[[#This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(zł/Mg)]]),CR$4)-CR$3))</f>
        <v>0</v>
      </c>
      <c r="CS14" s="323">
        <f>IF(Kalkulacja[[#This Row],[Koszt zagospodarowania/usługi]]="",IF(Kalkulacja[[#This Row],[Cena netto płaci SUEZ]]=0,ROUNDUP(((Kalkulacja[[#This Row],[Koszt transportu (zł/Mg)]]+Kalkulacja[[#This Row],[Koszt transportu (zł/Mg) ]]+Kalkulacja[[#This Row],[Koszt sprzętu (zł/Mg)]]+Kalkulacja[[#This Row],[Dzierżawa (zł/Mg)]]+Kalkulacja[[#This Row],[Koszty dodatkowe (zł/Mg)]]+Kalkulacja[[#This Row],[Koszt ludzi (zł/Mg)]])-Kalkulacja[[#This Row],[Przychód z odsprzedaży]]*(1-$CR$5))/(1-$CR$5),$CR$4)-$CR$3,0),ROUNDUP(Kalkulacja[[#This Row],[Suma kosztów]]/(1-$CS$5),$CS$4)+$CS$3)</f>
        <v>0</v>
      </c>
      <c r="CT14" s="306">
        <f>IFERROR(Kalkulacja[[#This Row],[Zysk (PLN/rok)]]/Kalkulacja[[#This Row],[Obrót (PLN/rok) ]],0)</f>
        <v>0</v>
      </c>
      <c r="CU14" s="324">
        <f>(Kalkulacja[[#This Row],[Cena netto dla Klienta]]+Kalkulacja[[#This Row],[Przychód z odsprzedaży]])*Kalkulacja[[#This Row],[Szacunkowa ilość odpadu (Mg/rok)]]</f>
        <v>0</v>
      </c>
      <c r="CV14" s="325">
        <f>Kalkulacja[[#This Row],[Marża]]*Kalkulacja[[#This Row],[Szacunkowa ilość odpadu (Mg/rok)]]</f>
        <v>0</v>
      </c>
      <c r="CW14" s="308">
        <f>IF(Kalkulacja[[#This Row],[Cena netto płaci SUEZ]]*Kalkulacja[[#This Row],[Szacunkowa ilość odpadu (Mg/rok)]]=0,0,Kalkulacja[[#This Row],[Cena netto płaci SUEZ]]*Kalkulacja[[#This Row],[Szacunkowa ilość odpadu (Mg/rok)]])</f>
        <v>0</v>
      </c>
      <c r="CX14" s="308">
        <f>IF(Kalkulacja[[#This Row],[Cena netto dla Klienta]]*Kalkulacja[[#This Row],[Szacunkowa ilość odpadu (Mg/rok)]] = 0,0,Kalkulacja[[#This Row],[Cena netto dla Klienta]]*Kalkulacja[[#This Row],[Szacunkowa ilość odpadu (Mg/rok)]])</f>
        <v>0</v>
      </c>
      <c r="CY14" s="325">
        <f>Kalkulacja[[#This Row],[Szacunkowa ilość odpadu /rok]]</f>
        <v>0</v>
      </c>
      <c r="CZ14" s="320" t="str">
        <f>IF(Kalkulacja[[#This Row],[Cena netto płaci SUEZ]]&lt;&gt;0,$CZ$2,IF(Kalkulacja[[#This Row],[Cena netto dla Klienta]]&lt;&gt;0,$CZ$3,""))</f>
        <v/>
      </c>
      <c r="DA14" s="489"/>
      <c r="DB14" s="326" t="e">
        <f>Kalkulacja[[#This Row],[Zysk SUEZ Razem '[PLN/rok']]]/Kalkulacja[[#This Row],[Obrót max (PLN/rok)]]</f>
        <v>#DIV/0!</v>
      </c>
      <c r="DC14" s="327">
        <f>Kalkulacja[[#This Row],[Zysk Spółki
(odpady)
 (PLN/rok)]]+Kalkulacja[[#This Row],[Zysk (PLN/rok)]]+Kalkulacja[[#This Row],[Zysk Spółki
(transport)
 (PLN/rok)]]</f>
        <v>0</v>
      </c>
      <c r="DD14" s="310">
        <f>IF(Kalkulacja[[#This Row],[SPÓŁKA]]="TAK",MAX(Kalkulacja[[#This Row],[Obrót (PLN/rok) ]],(Kalkulacja[[#This Row],[Obrót Spółki 
(odpady)
 (PLN/rok)]]+Kalkulacja[[#This Row],[Obrót Spółki 
(transport)
 (PLN/rok)]]),Kalkulacja[[#This Row],[Obrót (PLN/rok) ]]),Kalkulacja[[#This Row],[Obrót (PLN/rok) ]])</f>
        <v>0</v>
      </c>
      <c r="DE14" s="489"/>
    </row>
    <row r="15" spans="1:109" s="406" customFormat="1" ht="75">
      <c r="A15" s="491"/>
      <c r="B15" s="492">
        <f t="shared" si="1"/>
        <v>6</v>
      </c>
      <c r="C15" s="493"/>
      <c r="D15" s="494">
        <f>Kalkulacja[[#This Row],[Kod odpadu 
*u Klienta]]</f>
        <v>0</v>
      </c>
      <c r="E15" s="495" t="str">
        <f>IFERROR(VLOOKUP(Kalkulacja[[#This Row],[Kod odpadu *w ofercie SUEZ]],Tabela7[[Kod odpadu]:[Rodzaj odpadu]],2,0),"")</f>
        <v/>
      </c>
      <c r="F15" s="496"/>
      <c r="G15" s="497"/>
      <c r="H15" s="496"/>
      <c r="I15" s="498"/>
      <c r="J15" s="498"/>
      <c r="K15" s="499"/>
      <c r="L15" s="499"/>
      <c r="M15" s="499"/>
      <c r="N15" s="499"/>
      <c r="O15" s="499"/>
      <c r="P15" s="495" t="str">
        <f>Kalkulacja[[#This Row],[Miasto]]&amp;CHAR(10)&amp;Kalkulacja[[#This Row],[Kod pocztowy]]&amp;CHAR(10)&amp;Kalkulacja[[#This Row],[Ulica]]&amp;CHAR(10)&amp;Kalkulacja[[#This Row],[Nazwa/Numer Obiektu]]</f>
        <v xml:space="preserve">
</v>
      </c>
      <c r="Q15" s="495"/>
      <c r="R15" s="498"/>
      <c r="S15" s="498"/>
      <c r="T15" s="500">
        <f>Kalkulacja[[#This Row],[Rodzaj sprzętu (pojemniki i urządzenia) **sugerowany]]</f>
        <v>0</v>
      </c>
      <c r="U15" s="500"/>
      <c r="V15" s="498"/>
      <c r="W15" s="498"/>
      <c r="X15" s="498"/>
      <c r="Y15" s="498"/>
      <c r="Z15" s="480" t="str">
        <f>IF(Kalkulacja[[#This Row],[Postać odpadu]]&lt;&gt;"","Postać: " &amp;Kalkulacja[[#This Row],[Postać odpadu]]&amp;CHAR(10),"")&amp;IF(Kalkulacja[[#This Row],[Rodzaj sprzętu w ofercie SUEZ (pojemniki i urządzenia)]]&lt;&gt;"","Sprzęt: "&amp;Kalkulacja[[#This Row],[Rodzaj sprzętu w ofercie SUEZ (pojemniki i urządzenia)]]&amp;CHAR(10)&amp;"dla Klienta: "&amp;Kalkulacja[[#This Row],[Ilość pojemników/ sprzętu w ofercie SUEZ dla Klienta]]&amp;" własność:"&amp;Kalkulacja[[#This Row],[Własność pojemników/ sprzętu w ofercie SUEZ dla Klienta]] &amp;CHAR(10)&amp;"na wymianę: "&amp;Kalkulacja[[#This Row],[Ilość pojemników/ sprzętu na wymianę]],"") &amp; " własnośc:" &amp;Kalkulacja[[#This Row],[Własność pojemników/ sprzętu na wymianę]]</f>
        <v>Sprzęt: 0
dla Klienta:  własność:
na wymianę:  własnośc:</v>
      </c>
      <c r="AA15" s="501"/>
      <c r="AB15" s="502"/>
      <c r="AC15" s="497"/>
      <c r="AD15" s="497"/>
      <c r="AE15" s="497"/>
      <c r="AF15" s="497"/>
      <c r="AG15" s="497"/>
      <c r="AH15" s="497"/>
      <c r="AI15" s="497"/>
      <c r="AJ15" s="497"/>
      <c r="AK15" s="501"/>
      <c r="AL15" s="504"/>
      <c r="AM15" s="487" t="s">
        <v>2543</v>
      </c>
      <c r="AN15" s="496"/>
      <c r="AO15" s="496"/>
      <c r="AP15" s="496"/>
      <c r="AQ15" s="496"/>
      <c r="AR15" s="496"/>
      <c r="AS15" s="496"/>
      <c r="AT15" s="505"/>
      <c r="AU15" s="496"/>
      <c r="AV15" s="478"/>
      <c r="AW15" s="444"/>
      <c r="AX15" s="311"/>
      <c r="AY15" s="312">
        <f>Kalkulacja[[#This Row],[Przychód z odsprzedaży]]/(1-$AY$4)</f>
        <v>0</v>
      </c>
      <c r="AZ15" s="313">
        <f>Kalkulacja[[#This Row],[Koszt zagospodarowania/usługi]]*(1-$AY$4)</f>
        <v>0</v>
      </c>
      <c r="BA15" s="314">
        <f>Kalkulacja[[#This Row],[Transport (zł/kurs)]]*(1-$AZ$4)</f>
        <v>0</v>
      </c>
      <c r="BB15" s="314">
        <f>Kalkulacja[[#This Row],[Partia transportowa (Mg/kurs)]]</f>
        <v>0</v>
      </c>
      <c r="BC15" s="314">
        <f>IFERROR(Kalkulacja[[#This Row],[Transport (zł/kurs) 
spółka]]/Kalkulacja[[#This Row],[Partia transportowa (Mg/kurs)
spółka]],0)</f>
        <v>0</v>
      </c>
      <c r="BD15" s="314">
        <f>Kalkulacja[[#This Row],[Transport  (zł/kurs)]]*(1-$AZ$4)</f>
        <v>0</v>
      </c>
      <c r="BE15" s="314">
        <f>Kalkulacja[[#This Row],[Partia transportowa (Mg/kurs) ]]</f>
        <v>0</v>
      </c>
      <c r="BF15" s="314">
        <f>IFERROR(Kalkulacja[[#This Row],[Transport (zł/kurs)
spółka]]/Kalkulacja[[#This Row],[Partia transportowa (Mg/kurs) 
spółka]],0)</f>
        <v>0</v>
      </c>
      <c r="BG15" s="314">
        <f>Kalkulacja[[#This Row],[Jednostka]]</f>
        <v>0</v>
      </c>
      <c r="BH15" s="314">
        <f>Kalkulacja[[#This Row],[Przychód z odsprzedaży]]+Kalkulacja[[#This Row],[Koszt zagospodarowania/usługi Spółki]]</f>
        <v>0</v>
      </c>
      <c r="BI15" s="314">
        <f>Kalkulacja[[#This Row],[Koszt transportu (zł/Mg)
spółka]]+Kalkulacja[[#This Row],[Koszt transportu do instalacji (zł/Mg)
spółka]]</f>
        <v>0</v>
      </c>
      <c r="BJ15" s="314">
        <f>Kalkulacja[[#This Row],[Koszt zagospodarowania/usługi]]+Kalkulacja[[#This Row],[Przychód z odsprzedaży Spółki]]-Kalkulacja[[#This Row],[Suma kosztów Spółki
(odpady)]]</f>
        <v>0</v>
      </c>
      <c r="BK15" s="314">
        <f>Kalkulacja[[#This Row],[Koszt transportu (zł/Mg)]]-Kalkulacja[[#This Row],[Koszt transportu (zł/Mg)
spółka]]+Kalkulacja[[#This Row],[Koszt transportu (zł/Mg) ]]-Kalkulacja[[#This Row],[Koszt transportu do instalacji (zł/Mg)
spółka]]</f>
        <v>0</v>
      </c>
      <c r="BL15" s="444"/>
      <c r="BM15" s="314"/>
      <c r="BN15" s="315"/>
      <c r="BO15" s="316"/>
      <c r="BP15" s="444"/>
      <c r="BQ15" s="317" t="e">
        <f>Kalkulacja[[#This Row],[Zysk Spółki
(odpady)
 (PLN/rok)]]/Kalkulacja[[#This Row],[Obrót Spółki 
(odpady)
 (PLN/rok)]]</f>
        <v>#DIV/0!</v>
      </c>
      <c r="BR15" s="317" t="e">
        <f>Kalkulacja[[#This Row],[Zysk Spółki
(transport)
 (PLN/rok)]]/Kalkulacja[[#This Row],[Obrót Spółki 
(transport)
 (PLN/rok)]]</f>
        <v>#DIV/0!</v>
      </c>
      <c r="BS15" s="314">
        <f>(Kalkulacja[[#This Row],[Koszt zagospodarowania/usługi]]+Kalkulacja[[#This Row],[Przychód z odsprzedaży Spółki]])*Kalkulacja[[#This Row],[Szacunkowa ilość odpadu dla Spółki
(Mg/rok)]]</f>
        <v>0</v>
      </c>
      <c r="BT15" s="314">
        <f>(Kalkulacja[[#This Row],[Koszt transportu (zł/Mg)]]+Kalkulacja[[#This Row],[Koszt transportu (zł/Mg) ]])*Kalkulacja[[#This Row],[Szacunkowa ilość odpadu dla Spółki
(Mg/rok)]]</f>
        <v>0</v>
      </c>
      <c r="BU15" s="314">
        <f>Kalkulacja[[#This Row],[Marża Spółki
(odpady)]]*Kalkulacja[[#This Row],[Szacunkowa ilość odpadu dla Spółki
(Mg/rok)]]</f>
        <v>0</v>
      </c>
      <c r="BV15" s="314">
        <f>Kalkulacja[[#This Row],[Marża Spółki
(transport)]]*Kalkulacja[[#This Row],[Szacunkowa ilość odpadu dla Spółki
(Mg/rok)]]</f>
        <v>0</v>
      </c>
      <c r="BW15" s="314">
        <f>Kalkulacja[[#This Row],[Przychód z odsprzedaży]]*Kalkulacja[[#This Row],[Szacunkowa ilość odpadu dla Spółki
(Mg/rok)]]</f>
        <v>0</v>
      </c>
      <c r="BX15" s="296">
        <f>Kalkulacja[[#This Row],[Obrót Spółki 
(transport)
 (PLN/rok)]]+Kalkulacja[[#This Row],[Koszt zagospodarowania/usługi]]*Kalkulacja[[#This Row],[Szacunkowa ilość odpadu dla Spółki
(Mg/rok)]]</f>
        <v>0</v>
      </c>
      <c r="BY15" s="314">
        <f>Kalkulacja[[#This Row],[Szacunkowa ilość odpadu (Mg/rok)]]</f>
        <v>0</v>
      </c>
      <c r="BZ15" s="296" t="str">
        <f>IF(Kalkulacja[[#This Row],[SPÓŁKA]]="TAK",IF(Kalkulacja[[#This Row],[Przychód z odsprzedaży]]&lt;&gt;0,$CZ$2,IF(Kalkulacja[[#This Row],[Koszt zagospodarowania/usługi]]&lt;&gt;0,$CZ$3,"")),"")</f>
        <v/>
      </c>
      <c r="CA15" s="506"/>
      <c r="CB15" s="311"/>
      <c r="CC15" s="318"/>
      <c r="CD15" s="319">
        <f>IFERROR(Kalkulacja[[#This Row],[Transport (zł/kurs)]]/Kalkulacja[[#This Row],[Partia transportowa (Mg/kurs)]],0)</f>
        <v>0</v>
      </c>
      <c r="CE15" s="311"/>
      <c r="CF15" s="311"/>
      <c r="CG15" s="319">
        <f>IFERROR(Kalkulacja[[#This Row],[Transport  (zł/kurs)]]/Kalkulacja[[#This Row],[Partia transportowa (Mg/kurs) ]],0)</f>
        <v>0</v>
      </c>
      <c r="CH15" s="311"/>
      <c r="CI15" s="320">
        <f>IFERROR(Kalkulacja[[#This Row],[Dzierżawa (zł/m-c)]]*12/Kalkulacja[[#This Row],[Szacunkowa ilość odpadu /rok]],0)</f>
        <v>0</v>
      </c>
      <c r="CJ15" s="321"/>
      <c r="CK15" s="319">
        <f>Obsluga_sprzet[[#Totals],[Koszt roczny w przeliczeniu na tonę (zł/Mg)]]</f>
        <v>0</v>
      </c>
      <c r="CL15" s="319">
        <f>IFERROR(Obsluga_ludzie[[#Totals],[Koszt roczny w przeliczeniu na tonę (zł/Mg)]],0)</f>
        <v>0</v>
      </c>
      <c r="CM15" s="506"/>
      <c r="CN15" s="302">
        <f>Kalkulacja[[#This Row],[Jednostka]]</f>
        <v>0</v>
      </c>
      <c r="CO15" s="320">
        <f>Kalkulacja[[#This Row],[Koszt zagospodarowania/usługi]]+Kalkulacja[[#This Row],[Koszt transportu (zł/Mg)]]+Kalkulacja[[#This Row],[Koszt transportu (zł/Mg) ]]+Kalkulacja[[#This Row],[Dzierżawa (zł/Mg)]]+Kalkulacja[[#This Row],[Koszty dodatkowe (zł/Mg)]]+Kalkulacja[[#This Row],[Cena netto płaci SUEZ]]+Kalkulacja[[#This Row],[Koszt ludzi (zł/Mg)]]+Kalkulacja[[#This Row],[Koszt sprzętu (zł/Mg)]]</f>
        <v>0</v>
      </c>
      <c r="CP15" s="320">
        <f>Kalkulacja[[#This Row],[Cena netto dla Klienta]]+Kalkulacja[[#This Row],[Przychód z odsprzedaży]]-Kalkulacja[[#This Row],[Suma kosztów]]</f>
        <v>0</v>
      </c>
      <c r="CQ15" s="311"/>
      <c r="CR15" s="322">
        <f>IF(IF(Kalkulacja[[#This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(zł/Mg)]]),CR$4)-CR$3)&lt;0,0,IF(Kalkulacja[[#This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(zł/Mg)]]),CR$4)-CR$3))</f>
        <v>0</v>
      </c>
      <c r="CS15" s="323">
        <f>IF(Kalkulacja[[#This Row],[Koszt zagospodarowania/usługi]]="",IF(Kalkulacja[[#This Row],[Cena netto płaci SUEZ]]=0,ROUNDUP(((Kalkulacja[[#This Row],[Koszt transportu (zł/Mg)]]+Kalkulacja[[#This Row],[Koszt transportu (zł/Mg) ]]+Kalkulacja[[#This Row],[Koszt sprzętu (zł/Mg)]]+Kalkulacja[[#This Row],[Dzierżawa (zł/Mg)]]+Kalkulacja[[#This Row],[Koszty dodatkowe (zł/Mg)]]+Kalkulacja[[#This Row],[Koszt ludzi (zł/Mg)]])-Kalkulacja[[#This Row],[Przychód z odsprzedaży]]*(1-$CR$5))/(1-$CR$5),$CR$4)-$CR$3,0),ROUNDUP(Kalkulacja[[#This Row],[Suma kosztów]]/(1-$CS$5),$CS$4)+$CS$3)</f>
        <v>0</v>
      </c>
      <c r="CT15" s="306">
        <f>IFERROR(Kalkulacja[[#This Row],[Zysk (PLN/rok)]]/Kalkulacja[[#This Row],[Obrót (PLN/rok) ]],0)</f>
        <v>0</v>
      </c>
      <c r="CU15" s="324">
        <f>(Kalkulacja[[#This Row],[Cena netto dla Klienta]]+Kalkulacja[[#This Row],[Przychód z odsprzedaży]])*Kalkulacja[[#This Row],[Szacunkowa ilość odpadu (Mg/rok)]]</f>
        <v>0</v>
      </c>
      <c r="CV15" s="325">
        <f>Kalkulacja[[#This Row],[Marża]]*Kalkulacja[[#This Row],[Szacunkowa ilość odpadu (Mg/rok)]]</f>
        <v>0</v>
      </c>
      <c r="CW15" s="308">
        <f>IF(Kalkulacja[[#This Row],[Cena netto płaci SUEZ]]*Kalkulacja[[#This Row],[Szacunkowa ilość odpadu (Mg/rok)]]=0,0,Kalkulacja[[#This Row],[Cena netto płaci SUEZ]]*Kalkulacja[[#This Row],[Szacunkowa ilość odpadu (Mg/rok)]])</f>
        <v>0</v>
      </c>
      <c r="CX15" s="308">
        <f>IF(Kalkulacja[[#This Row],[Cena netto dla Klienta]]*Kalkulacja[[#This Row],[Szacunkowa ilość odpadu (Mg/rok)]] = 0,0,Kalkulacja[[#This Row],[Cena netto dla Klienta]]*Kalkulacja[[#This Row],[Szacunkowa ilość odpadu (Mg/rok)]])</f>
        <v>0</v>
      </c>
      <c r="CY15" s="325">
        <f>Kalkulacja[[#This Row],[Szacunkowa ilość odpadu /rok]]</f>
        <v>0</v>
      </c>
      <c r="CZ15" s="320" t="str">
        <f>IF(Kalkulacja[[#This Row],[Cena netto płaci SUEZ]]&lt;&gt;0,$CZ$2,IF(Kalkulacja[[#This Row],[Cena netto dla Klienta]]&lt;&gt;0,$CZ$3,""))</f>
        <v/>
      </c>
      <c r="DA15" s="506"/>
      <c r="DB15" s="326" t="e">
        <f>Kalkulacja[[#This Row],[Zysk SUEZ Razem '[PLN/rok']]]/Kalkulacja[[#This Row],[Obrót max (PLN/rok)]]</f>
        <v>#DIV/0!</v>
      </c>
      <c r="DC15" s="327">
        <f>Kalkulacja[[#This Row],[Zysk Spółki
(odpady)
 (PLN/rok)]]+Kalkulacja[[#This Row],[Zysk (PLN/rok)]]+Kalkulacja[[#This Row],[Zysk Spółki
(transport)
 (PLN/rok)]]</f>
        <v>0</v>
      </c>
      <c r="DD15" s="310">
        <f>IF(Kalkulacja[[#This Row],[SPÓŁKA]]="TAK",MAX(Kalkulacja[[#This Row],[Obrót (PLN/rok) ]],(Kalkulacja[[#This Row],[Obrót Spółki 
(odpady)
 (PLN/rok)]]+Kalkulacja[[#This Row],[Obrót Spółki 
(transport)
 (PLN/rok)]]),Kalkulacja[[#This Row],[Obrót (PLN/rok) ]]),Kalkulacja[[#This Row],[Obrót (PLN/rok) ]])</f>
        <v>0</v>
      </c>
      <c r="DE15" s="506"/>
    </row>
    <row r="16" spans="1:109" s="406" customFormat="1" ht="75">
      <c r="A16" s="491"/>
      <c r="B16" s="492">
        <f>ROW()-9</f>
        <v>7</v>
      </c>
      <c r="C16" s="493"/>
      <c r="D16" s="494">
        <f>Kalkulacja[[#This Row],[Kod odpadu 
*u Klienta]]</f>
        <v>0</v>
      </c>
      <c r="E16" s="495" t="str">
        <f>IFERROR(VLOOKUP(Kalkulacja[[#This Row],[Kod odpadu *w ofercie SUEZ]],Tabela7[[Kod odpadu]:[Rodzaj odpadu]],2,0),"")</f>
        <v/>
      </c>
      <c r="F16" s="496"/>
      <c r="G16" s="497"/>
      <c r="H16" s="496"/>
      <c r="I16" s="498"/>
      <c r="J16" s="498"/>
      <c r="K16" s="499"/>
      <c r="L16" s="499"/>
      <c r="M16" s="499"/>
      <c r="N16" s="499"/>
      <c r="O16" s="499"/>
      <c r="P16" s="495" t="str">
        <f>Kalkulacja[[#This Row],[Miasto]]&amp;CHAR(10)&amp;Kalkulacja[[#This Row],[Kod pocztowy]]&amp;CHAR(10)&amp;Kalkulacja[[#This Row],[Ulica]]&amp;CHAR(10)&amp;Kalkulacja[[#This Row],[Nazwa/Numer Obiektu]]</f>
        <v xml:space="preserve">
</v>
      </c>
      <c r="Q16" s="495"/>
      <c r="R16" s="498"/>
      <c r="S16" s="498"/>
      <c r="T16" s="500">
        <f>Kalkulacja[[#This Row],[Rodzaj sprzętu (pojemniki i urządzenia) **sugerowany]]</f>
        <v>0</v>
      </c>
      <c r="U16" s="500"/>
      <c r="V16" s="498"/>
      <c r="W16" s="498"/>
      <c r="X16" s="498"/>
      <c r="Y16" s="498"/>
      <c r="Z16" s="480" t="str">
        <f>IF(Kalkulacja[[#This Row],[Postać odpadu]]&lt;&gt;"","Postać: " &amp;Kalkulacja[[#This Row],[Postać odpadu]]&amp;CHAR(10),"")&amp;IF(Kalkulacja[[#This Row],[Rodzaj sprzętu w ofercie SUEZ (pojemniki i urządzenia)]]&lt;&gt;"","Sprzęt: "&amp;Kalkulacja[[#This Row],[Rodzaj sprzętu w ofercie SUEZ (pojemniki i urządzenia)]]&amp;CHAR(10)&amp;"dla Klienta: "&amp;Kalkulacja[[#This Row],[Ilość pojemników/ sprzętu w ofercie SUEZ dla Klienta]]&amp;" własność:"&amp;Kalkulacja[[#This Row],[Własność pojemników/ sprzętu w ofercie SUEZ dla Klienta]] &amp;CHAR(10)&amp;"na wymianę: "&amp;Kalkulacja[[#This Row],[Ilość pojemników/ sprzętu na wymianę]],"") &amp; " własnośc:" &amp;Kalkulacja[[#This Row],[Własność pojemników/ sprzętu na wymianę]]</f>
        <v>Sprzęt: 0
dla Klienta:  własność:
na wymianę:  własnośc:</v>
      </c>
      <c r="AA16" s="501"/>
      <c r="AB16" s="502"/>
      <c r="AC16" s="497"/>
      <c r="AD16" s="497"/>
      <c r="AE16" s="497"/>
      <c r="AF16" s="497"/>
      <c r="AG16" s="497"/>
      <c r="AH16" s="497"/>
      <c r="AI16" s="497"/>
      <c r="AJ16" s="497"/>
      <c r="AK16" s="501"/>
      <c r="AL16" s="504"/>
      <c r="AM16" s="487" t="s">
        <v>2543</v>
      </c>
      <c r="AN16" s="496"/>
      <c r="AO16" s="496"/>
      <c r="AP16" s="496"/>
      <c r="AQ16" s="496"/>
      <c r="AR16" s="496"/>
      <c r="AS16" s="496"/>
      <c r="AT16" s="505"/>
      <c r="AU16" s="496"/>
      <c r="AV16" s="478"/>
      <c r="AW16" s="444"/>
      <c r="AX16" s="311"/>
      <c r="AY16" s="312">
        <f>Kalkulacja[[#This Row],[Przychód z odsprzedaży]]/(1-$AY$4)</f>
        <v>0</v>
      </c>
      <c r="AZ16" s="313">
        <f>Kalkulacja[[#This Row],[Koszt zagospodarowania/usługi]]*(1-$AY$4)</f>
        <v>0</v>
      </c>
      <c r="BA16" s="314">
        <f>Kalkulacja[[#This Row],[Transport (zł/kurs)]]*(1-$AZ$4)</f>
        <v>0</v>
      </c>
      <c r="BB16" s="314">
        <f>Kalkulacja[[#This Row],[Partia transportowa (Mg/kurs)]]</f>
        <v>0</v>
      </c>
      <c r="BC16" s="314">
        <f>IFERROR(Kalkulacja[[#This Row],[Transport (zł/kurs) 
spółka]]/Kalkulacja[[#This Row],[Partia transportowa (Mg/kurs)
spółka]],0)</f>
        <v>0</v>
      </c>
      <c r="BD16" s="314">
        <f>Kalkulacja[[#This Row],[Transport  (zł/kurs)]]*(1-$AZ$4)</f>
        <v>0</v>
      </c>
      <c r="BE16" s="314">
        <f>Kalkulacja[[#This Row],[Partia transportowa (Mg/kurs) ]]</f>
        <v>0</v>
      </c>
      <c r="BF16" s="314">
        <f>IFERROR(Kalkulacja[[#This Row],[Transport (zł/kurs)
spółka]]/Kalkulacja[[#This Row],[Partia transportowa (Mg/kurs) 
spółka]],0)</f>
        <v>0</v>
      </c>
      <c r="BG16" s="314">
        <f>Kalkulacja[[#This Row],[Jednostka]]</f>
        <v>0</v>
      </c>
      <c r="BH16" s="314">
        <f>Kalkulacja[[#This Row],[Przychód z odsprzedaży]]+Kalkulacja[[#This Row],[Koszt zagospodarowania/usługi Spółki]]</f>
        <v>0</v>
      </c>
      <c r="BI16" s="314">
        <f>Kalkulacja[[#This Row],[Koszt transportu (zł/Mg)
spółka]]+Kalkulacja[[#This Row],[Koszt transportu do instalacji (zł/Mg)
spółka]]</f>
        <v>0</v>
      </c>
      <c r="BJ16" s="314">
        <f>Kalkulacja[[#This Row],[Koszt zagospodarowania/usługi]]+Kalkulacja[[#This Row],[Przychód z odsprzedaży Spółki]]-Kalkulacja[[#This Row],[Suma kosztów Spółki
(odpady)]]</f>
        <v>0</v>
      </c>
      <c r="BK16" s="314">
        <f>Kalkulacja[[#This Row],[Koszt transportu (zł/Mg)]]-Kalkulacja[[#This Row],[Koszt transportu (zł/Mg)
spółka]]+Kalkulacja[[#This Row],[Koszt transportu (zł/Mg) ]]-Kalkulacja[[#This Row],[Koszt transportu do instalacji (zł/Mg)
spółka]]</f>
        <v>0</v>
      </c>
      <c r="BL16" s="444"/>
      <c r="BM16" s="314"/>
      <c r="BN16" s="315"/>
      <c r="BO16" s="316"/>
      <c r="BP16" s="444"/>
      <c r="BQ16" s="317" t="e">
        <f>Kalkulacja[[#This Row],[Zysk Spółki
(odpady)
 (PLN/rok)]]/Kalkulacja[[#This Row],[Obrót Spółki 
(odpady)
 (PLN/rok)]]</f>
        <v>#DIV/0!</v>
      </c>
      <c r="BR16" s="317" t="e">
        <f>Kalkulacja[[#This Row],[Zysk Spółki
(transport)
 (PLN/rok)]]/Kalkulacja[[#This Row],[Obrót Spółki 
(transport)
 (PLN/rok)]]</f>
        <v>#DIV/0!</v>
      </c>
      <c r="BS16" s="314">
        <f>(Kalkulacja[[#This Row],[Koszt zagospodarowania/usługi]]+Kalkulacja[[#This Row],[Przychód z odsprzedaży Spółki]])*Kalkulacja[[#This Row],[Szacunkowa ilość odpadu dla Spółki
(Mg/rok)]]</f>
        <v>0</v>
      </c>
      <c r="BT16" s="314">
        <f>(Kalkulacja[[#This Row],[Koszt transportu (zł/Mg)]]+Kalkulacja[[#This Row],[Koszt transportu (zł/Mg) ]])*Kalkulacja[[#This Row],[Szacunkowa ilość odpadu dla Spółki
(Mg/rok)]]</f>
        <v>0</v>
      </c>
      <c r="BU16" s="314">
        <f>Kalkulacja[[#This Row],[Marża Spółki
(odpady)]]*Kalkulacja[[#This Row],[Szacunkowa ilość odpadu dla Spółki
(Mg/rok)]]</f>
        <v>0</v>
      </c>
      <c r="BV16" s="314">
        <f>Kalkulacja[[#This Row],[Marża Spółki
(transport)]]*Kalkulacja[[#This Row],[Szacunkowa ilość odpadu dla Spółki
(Mg/rok)]]</f>
        <v>0</v>
      </c>
      <c r="BW16" s="314">
        <f>Kalkulacja[[#This Row],[Przychód z odsprzedaży]]*Kalkulacja[[#This Row],[Szacunkowa ilość odpadu dla Spółki
(Mg/rok)]]</f>
        <v>0</v>
      </c>
      <c r="BX16" s="296">
        <f>Kalkulacja[[#This Row],[Obrót Spółki 
(transport)
 (PLN/rok)]]+Kalkulacja[[#This Row],[Koszt zagospodarowania/usługi]]*Kalkulacja[[#This Row],[Szacunkowa ilość odpadu dla Spółki
(Mg/rok)]]</f>
        <v>0</v>
      </c>
      <c r="BY16" s="314">
        <f>Kalkulacja[[#This Row],[Szacunkowa ilość odpadu (Mg/rok)]]</f>
        <v>0</v>
      </c>
      <c r="BZ16" s="296" t="str">
        <f>IF(Kalkulacja[[#This Row],[SPÓŁKA]]="TAK",IF(Kalkulacja[[#This Row],[Przychód z odsprzedaży]]&lt;&gt;0,$CZ$2,IF(Kalkulacja[[#This Row],[Koszt zagospodarowania/usługi]]&lt;&gt;0,$CZ$3,"")),"")</f>
        <v/>
      </c>
      <c r="CA16" s="506"/>
      <c r="CB16" s="311"/>
      <c r="CC16" s="318"/>
      <c r="CD16" s="319">
        <f>IFERROR(Kalkulacja[[#This Row],[Transport (zł/kurs)]]/Kalkulacja[[#This Row],[Partia transportowa (Mg/kurs)]],0)</f>
        <v>0</v>
      </c>
      <c r="CE16" s="311"/>
      <c r="CF16" s="311"/>
      <c r="CG16" s="319">
        <f>IFERROR(Kalkulacja[[#This Row],[Transport  (zł/kurs)]]/Kalkulacja[[#This Row],[Partia transportowa (Mg/kurs) ]],0)</f>
        <v>0</v>
      </c>
      <c r="CH16" s="311"/>
      <c r="CI16" s="320">
        <f>IFERROR(Kalkulacja[[#This Row],[Dzierżawa (zł/m-c)]]*12/Kalkulacja[[#This Row],[Szacunkowa ilość odpadu /rok]],0)</f>
        <v>0</v>
      </c>
      <c r="CJ16" s="321"/>
      <c r="CK16" s="319">
        <f>Obsluga_sprzet[[#Totals],[Koszt roczny w przeliczeniu na tonę (zł/Mg)]]</f>
        <v>0</v>
      </c>
      <c r="CL16" s="319">
        <f>IFERROR(Obsluga_ludzie[[#Totals],[Koszt roczny w przeliczeniu na tonę (zł/Mg)]],0)</f>
        <v>0</v>
      </c>
      <c r="CM16" s="506"/>
      <c r="CN16" s="302">
        <f>Kalkulacja[[#This Row],[Jednostka]]</f>
        <v>0</v>
      </c>
      <c r="CO16" s="320">
        <f>Kalkulacja[[#This Row],[Koszt zagospodarowania/usługi]]+Kalkulacja[[#This Row],[Koszt transportu (zł/Mg)]]+Kalkulacja[[#This Row],[Koszt transportu (zł/Mg) ]]+Kalkulacja[[#This Row],[Dzierżawa (zł/Mg)]]+Kalkulacja[[#This Row],[Koszty dodatkowe (zł/Mg)]]+Kalkulacja[[#This Row],[Cena netto płaci SUEZ]]+Kalkulacja[[#This Row],[Koszt ludzi (zł/Mg)]]+Kalkulacja[[#This Row],[Koszt sprzętu (zł/Mg)]]</f>
        <v>0</v>
      </c>
      <c r="CP16" s="320">
        <f>Kalkulacja[[#This Row],[Cena netto dla Klienta]]+Kalkulacja[[#This Row],[Przychód z odsprzedaży]]-Kalkulacja[[#This Row],[Suma kosztów]]</f>
        <v>0</v>
      </c>
      <c r="CQ16" s="311"/>
      <c r="CR16" s="322">
        <f>IF(IF(Kalkulacja[[#This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(zł/Mg)]]),CR$4)-CR$3)&lt;0,0,IF(Kalkulacja[[#This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(zł/Mg)]]),CR$4)-CR$3))</f>
        <v>0</v>
      </c>
      <c r="CS16" s="323">
        <f>IF(Kalkulacja[[#This Row],[Koszt zagospodarowania/usługi]]="",IF(Kalkulacja[[#This Row],[Cena netto płaci SUEZ]]=0,ROUNDUP(((Kalkulacja[[#This Row],[Koszt transportu (zł/Mg)]]+Kalkulacja[[#This Row],[Koszt transportu (zł/Mg) ]]+Kalkulacja[[#This Row],[Koszt sprzętu (zł/Mg)]]+Kalkulacja[[#This Row],[Dzierżawa (zł/Mg)]]+Kalkulacja[[#This Row],[Koszty dodatkowe (zł/Mg)]]+Kalkulacja[[#This Row],[Koszt ludzi (zł/Mg)]])-Kalkulacja[[#This Row],[Przychód z odsprzedaży]]*(1-$CR$5))/(1-$CR$5),$CR$4)-$CR$3,0),ROUNDUP(Kalkulacja[[#This Row],[Suma kosztów]]/(1-$CS$5),$CS$4)+$CS$3)</f>
        <v>0</v>
      </c>
      <c r="CT16" s="306">
        <f>IFERROR(Kalkulacja[[#This Row],[Zysk (PLN/rok)]]/Kalkulacja[[#This Row],[Obrót (PLN/rok) ]],0)</f>
        <v>0</v>
      </c>
      <c r="CU16" s="324">
        <f>(Kalkulacja[[#This Row],[Cena netto dla Klienta]]+Kalkulacja[[#This Row],[Przychód z odsprzedaży]])*Kalkulacja[[#This Row],[Szacunkowa ilość odpadu (Mg/rok)]]</f>
        <v>0</v>
      </c>
      <c r="CV16" s="325">
        <f>Kalkulacja[[#This Row],[Marża]]*Kalkulacja[[#This Row],[Szacunkowa ilość odpadu (Mg/rok)]]</f>
        <v>0</v>
      </c>
      <c r="CW16" s="308">
        <f>IF(Kalkulacja[[#This Row],[Cena netto płaci SUEZ]]*Kalkulacja[[#This Row],[Szacunkowa ilość odpadu (Mg/rok)]]=0,0,Kalkulacja[[#This Row],[Cena netto płaci SUEZ]]*Kalkulacja[[#This Row],[Szacunkowa ilość odpadu (Mg/rok)]])</f>
        <v>0</v>
      </c>
      <c r="CX16" s="308">
        <f>IF(Kalkulacja[[#This Row],[Cena netto dla Klienta]]*Kalkulacja[[#This Row],[Szacunkowa ilość odpadu (Mg/rok)]] = 0,0,Kalkulacja[[#This Row],[Cena netto dla Klienta]]*Kalkulacja[[#This Row],[Szacunkowa ilość odpadu (Mg/rok)]])</f>
        <v>0</v>
      </c>
      <c r="CY16" s="325">
        <f>Kalkulacja[[#This Row],[Szacunkowa ilość odpadu /rok]]</f>
        <v>0</v>
      </c>
      <c r="CZ16" s="320" t="str">
        <f>IF(Kalkulacja[[#This Row],[Cena netto płaci SUEZ]]&lt;&gt;0,$CZ$2,IF(Kalkulacja[[#This Row],[Cena netto dla Klienta]]&lt;&gt;0,$CZ$3,""))</f>
        <v/>
      </c>
      <c r="DA16" s="506"/>
      <c r="DB16" s="326" t="e">
        <f>Kalkulacja[[#This Row],[Zysk SUEZ Razem '[PLN/rok']]]/Kalkulacja[[#This Row],[Obrót max (PLN/rok)]]</f>
        <v>#DIV/0!</v>
      </c>
      <c r="DC16" s="327">
        <f>Kalkulacja[[#This Row],[Zysk Spółki
(odpady)
 (PLN/rok)]]+Kalkulacja[[#This Row],[Zysk (PLN/rok)]]+Kalkulacja[[#This Row],[Zysk Spółki
(transport)
 (PLN/rok)]]</f>
        <v>0</v>
      </c>
      <c r="DD16" s="310">
        <f>IF(Kalkulacja[[#This Row],[SPÓŁKA]]="TAK",MAX(Kalkulacja[[#This Row],[Obrót (PLN/rok) ]],(Kalkulacja[[#This Row],[Obrót Spółki 
(odpady)
 (PLN/rok)]]+Kalkulacja[[#This Row],[Obrót Spółki 
(transport)
 (PLN/rok)]]),Kalkulacja[[#This Row],[Obrót (PLN/rok) ]]),Kalkulacja[[#This Row],[Obrót (PLN/rok) ]])</f>
        <v>0</v>
      </c>
      <c r="DE16" s="506"/>
    </row>
    <row r="17" spans="1:109" s="406" customFormat="1" ht="75">
      <c r="A17" s="491"/>
      <c r="B17" s="492">
        <f t="shared" si="1"/>
        <v>8</v>
      </c>
      <c r="C17" s="493"/>
      <c r="D17" s="494">
        <f>Kalkulacja[[#This Row],[Kod odpadu 
*u Klienta]]</f>
        <v>0</v>
      </c>
      <c r="E17" s="495" t="str">
        <f>IFERROR(VLOOKUP(Kalkulacja[[#This Row],[Kod odpadu *w ofercie SUEZ]],Tabela7[[Kod odpadu]:[Rodzaj odpadu]],2,0),"")</f>
        <v/>
      </c>
      <c r="F17" s="496"/>
      <c r="G17" s="497"/>
      <c r="H17" s="496"/>
      <c r="I17" s="498"/>
      <c r="J17" s="498"/>
      <c r="K17" s="499"/>
      <c r="L17" s="499"/>
      <c r="M17" s="499"/>
      <c r="N17" s="499"/>
      <c r="O17" s="499"/>
      <c r="P17" s="495" t="str">
        <f>Kalkulacja[[#This Row],[Miasto]]&amp;CHAR(10)&amp;Kalkulacja[[#This Row],[Kod pocztowy]]&amp;CHAR(10)&amp;Kalkulacja[[#This Row],[Ulica]]&amp;CHAR(10)&amp;Kalkulacja[[#This Row],[Nazwa/Numer Obiektu]]</f>
        <v xml:space="preserve">
</v>
      </c>
      <c r="Q17" s="495"/>
      <c r="R17" s="498"/>
      <c r="S17" s="498"/>
      <c r="T17" s="500">
        <f>Kalkulacja[[#This Row],[Rodzaj sprzętu (pojemniki i urządzenia) **sugerowany]]</f>
        <v>0</v>
      </c>
      <c r="U17" s="500"/>
      <c r="V17" s="498"/>
      <c r="W17" s="498"/>
      <c r="X17" s="498"/>
      <c r="Y17" s="498"/>
      <c r="Z17" s="480" t="str">
        <f>IF(Kalkulacja[[#This Row],[Postać odpadu]]&lt;&gt;"","Postać: " &amp;Kalkulacja[[#This Row],[Postać odpadu]]&amp;CHAR(10),"")&amp;IF(Kalkulacja[[#This Row],[Rodzaj sprzętu w ofercie SUEZ (pojemniki i urządzenia)]]&lt;&gt;"","Sprzęt: "&amp;Kalkulacja[[#This Row],[Rodzaj sprzętu w ofercie SUEZ (pojemniki i urządzenia)]]&amp;CHAR(10)&amp;"dla Klienta: "&amp;Kalkulacja[[#This Row],[Ilość pojemników/ sprzętu w ofercie SUEZ dla Klienta]]&amp;" własność:"&amp;Kalkulacja[[#This Row],[Własność pojemników/ sprzętu w ofercie SUEZ dla Klienta]] &amp;CHAR(10)&amp;"na wymianę: "&amp;Kalkulacja[[#This Row],[Ilość pojemników/ sprzętu na wymianę]],"") &amp; " własnośc:" &amp;Kalkulacja[[#This Row],[Własność pojemników/ sprzętu na wymianę]]</f>
        <v>Sprzęt: 0
dla Klienta:  własność:
na wymianę:  własnośc:</v>
      </c>
      <c r="AA17" s="501"/>
      <c r="AB17" s="502"/>
      <c r="AC17" s="497"/>
      <c r="AD17" s="497"/>
      <c r="AE17" s="497"/>
      <c r="AF17" s="497"/>
      <c r="AG17" s="497"/>
      <c r="AH17" s="497"/>
      <c r="AI17" s="497"/>
      <c r="AJ17" s="497"/>
      <c r="AK17" s="501"/>
      <c r="AL17" s="504"/>
      <c r="AM17" s="487" t="s">
        <v>2543</v>
      </c>
      <c r="AN17" s="496"/>
      <c r="AO17" s="496"/>
      <c r="AP17" s="496"/>
      <c r="AQ17" s="496"/>
      <c r="AR17" s="496"/>
      <c r="AS17" s="496"/>
      <c r="AT17" s="505"/>
      <c r="AU17" s="496"/>
      <c r="AV17" s="478"/>
      <c r="AW17" s="444"/>
      <c r="AX17" s="311"/>
      <c r="AY17" s="312">
        <f>Kalkulacja[[#This Row],[Przychód z odsprzedaży]]/(1-$AY$4)</f>
        <v>0</v>
      </c>
      <c r="AZ17" s="313">
        <f>Kalkulacja[[#This Row],[Koszt zagospodarowania/usługi]]*(1-$AY$4)</f>
        <v>0</v>
      </c>
      <c r="BA17" s="314">
        <f>Kalkulacja[[#This Row],[Transport (zł/kurs)]]*(1-$AZ$4)</f>
        <v>0</v>
      </c>
      <c r="BB17" s="314">
        <f>Kalkulacja[[#This Row],[Partia transportowa (Mg/kurs)]]</f>
        <v>0</v>
      </c>
      <c r="BC17" s="314">
        <f>IFERROR(Kalkulacja[[#This Row],[Transport (zł/kurs) 
spółka]]/Kalkulacja[[#This Row],[Partia transportowa (Mg/kurs)
spółka]],0)</f>
        <v>0</v>
      </c>
      <c r="BD17" s="314">
        <f>Kalkulacja[[#This Row],[Transport  (zł/kurs)]]*(1-$AZ$4)</f>
        <v>0</v>
      </c>
      <c r="BE17" s="314">
        <f>Kalkulacja[[#This Row],[Partia transportowa (Mg/kurs) ]]</f>
        <v>0</v>
      </c>
      <c r="BF17" s="314">
        <f>IFERROR(Kalkulacja[[#This Row],[Transport (zł/kurs)
spółka]]/Kalkulacja[[#This Row],[Partia transportowa (Mg/kurs) 
spółka]],0)</f>
        <v>0</v>
      </c>
      <c r="BG17" s="314">
        <f>Kalkulacja[[#This Row],[Jednostka]]</f>
        <v>0</v>
      </c>
      <c r="BH17" s="314">
        <f>Kalkulacja[[#This Row],[Przychód z odsprzedaży]]+Kalkulacja[[#This Row],[Koszt zagospodarowania/usługi Spółki]]</f>
        <v>0</v>
      </c>
      <c r="BI17" s="314">
        <f>Kalkulacja[[#This Row],[Koszt transportu (zł/Mg)
spółka]]+Kalkulacja[[#This Row],[Koszt transportu do instalacji (zł/Mg)
spółka]]</f>
        <v>0</v>
      </c>
      <c r="BJ17" s="314">
        <f>Kalkulacja[[#This Row],[Koszt zagospodarowania/usługi]]+Kalkulacja[[#This Row],[Przychód z odsprzedaży Spółki]]-Kalkulacja[[#This Row],[Suma kosztów Spółki
(odpady)]]</f>
        <v>0</v>
      </c>
      <c r="BK17" s="314">
        <f>Kalkulacja[[#This Row],[Koszt transportu (zł/Mg)]]-Kalkulacja[[#This Row],[Koszt transportu (zł/Mg)
spółka]]+Kalkulacja[[#This Row],[Koszt transportu (zł/Mg) ]]-Kalkulacja[[#This Row],[Koszt transportu do instalacji (zł/Mg)
spółka]]</f>
        <v>0</v>
      </c>
      <c r="BL17" s="444"/>
      <c r="BM17" s="314"/>
      <c r="BN17" s="315"/>
      <c r="BO17" s="316"/>
      <c r="BP17" s="444"/>
      <c r="BQ17" s="317" t="e">
        <f>Kalkulacja[[#This Row],[Zysk Spółki
(odpady)
 (PLN/rok)]]/Kalkulacja[[#This Row],[Obrót Spółki 
(odpady)
 (PLN/rok)]]</f>
        <v>#DIV/0!</v>
      </c>
      <c r="BR17" s="317" t="e">
        <f>Kalkulacja[[#This Row],[Zysk Spółki
(transport)
 (PLN/rok)]]/Kalkulacja[[#This Row],[Obrót Spółki 
(transport)
 (PLN/rok)]]</f>
        <v>#DIV/0!</v>
      </c>
      <c r="BS17" s="314">
        <f>(Kalkulacja[[#This Row],[Koszt zagospodarowania/usługi]]+Kalkulacja[[#This Row],[Przychód z odsprzedaży Spółki]])*Kalkulacja[[#This Row],[Szacunkowa ilość odpadu dla Spółki
(Mg/rok)]]</f>
        <v>0</v>
      </c>
      <c r="BT17" s="314">
        <f>(Kalkulacja[[#This Row],[Koszt transportu (zł/Mg)]]+Kalkulacja[[#This Row],[Koszt transportu (zł/Mg) ]])*Kalkulacja[[#This Row],[Szacunkowa ilość odpadu dla Spółki
(Mg/rok)]]</f>
        <v>0</v>
      </c>
      <c r="BU17" s="314">
        <f>Kalkulacja[[#This Row],[Marża Spółki
(odpady)]]*Kalkulacja[[#This Row],[Szacunkowa ilość odpadu dla Spółki
(Mg/rok)]]</f>
        <v>0</v>
      </c>
      <c r="BV17" s="314">
        <f>Kalkulacja[[#This Row],[Marża Spółki
(transport)]]*Kalkulacja[[#This Row],[Szacunkowa ilość odpadu dla Spółki
(Mg/rok)]]</f>
        <v>0</v>
      </c>
      <c r="BW17" s="314">
        <f>Kalkulacja[[#This Row],[Przychód z odsprzedaży]]*Kalkulacja[[#This Row],[Szacunkowa ilość odpadu dla Spółki
(Mg/rok)]]</f>
        <v>0</v>
      </c>
      <c r="BX17" s="296">
        <f>Kalkulacja[[#This Row],[Obrót Spółki 
(transport)
 (PLN/rok)]]+Kalkulacja[[#This Row],[Koszt zagospodarowania/usługi]]*Kalkulacja[[#This Row],[Szacunkowa ilość odpadu dla Spółki
(Mg/rok)]]</f>
        <v>0</v>
      </c>
      <c r="BY17" s="314">
        <f>Kalkulacja[[#This Row],[Szacunkowa ilość odpadu (Mg/rok)]]</f>
        <v>0</v>
      </c>
      <c r="BZ17" s="296" t="str">
        <f>IF(Kalkulacja[[#This Row],[SPÓŁKA]]="TAK",IF(Kalkulacja[[#This Row],[Przychód z odsprzedaży]]&lt;&gt;0,$CZ$2,IF(Kalkulacja[[#This Row],[Koszt zagospodarowania/usługi]]&lt;&gt;0,$CZ$3,"")),"")</f>
        <v/>
      </c>
      <c r="CA17" s="506"/>
      <c r="CB17" s="311"/>
      <c r="CC17" s="318"/>
      <c r="CD17" s="319">
        <f>IFERROR(Kalkulacja[[#This Row],[Transport (zł/kurs)]]/Kalkulacja[[#This Row],[Partia transportowa (Mg/kurs)]],0)</f>
        <v>0</v>
      </c>
      <c r="CE17" s="311"/>
      <c r="CF17" s="311"/>
      <c r="CG17" s="319">
        <f>IFERROR(Kalkulacja[[#This Row],[Transport  (zł/kurs)]]/Kalkulacja[[#This Row],[Partia transportowa (Mg/kurs) ]],0)</f>
        <v>0</v>
      </c>
      <c r="CH17" s="311"/>
      <c r="CI17" s="320">
        <f>IFERROR(Kalkulacja[[#This Row],[Dzierżawa (zł/m-c)]]*12/Kalkulacja[[#This Row],[Szacunkowa ilość odpadu /rok]],0)</f>
        <v>0</v>
      </c>
      <c r="CJ17" s="321"/>
      <c r="CK17" s="319">
        <f>Obsluga_sprzet[[#Totals],[Koszt roczny w przeliczeniu na tonę (zł/Mg)]]</f>
        <v>0</v>
      </c>
      <c r="CL17" s="319">
        <f>IFERROR(Obsluga_ludzie[[#Totals],[Koszt roczny w przeliczeniu na tonę (zł/Mg)]],0)</f>
        <v>0</v>
      </c>
      <c r="CM17" s="506"/>
      <c r="CN17" s="302">
        <f>Kalkulacja[[#This Row],[Jednostka]]</f>
        <v>0</v>
      </c>
      <c r="CO17" s="320">
        <f>Kalkulacja[[#This Row],[Koszt zagospodarowania/usługi]]+Kalkulacja[[#This Row],[Koszt transportu (zł/Mg)]]+Kalkulacja[[#This Row],[Koszt transportu (zł/Mg) ]]+Kalkulacja[[#This Row],[Dzierżawa (zł/Mg)]]+Kalkulacja[[#This Row],[Koszty dodatkowe (zł/Mg)]]+Kalkulacja[[#This Row],[Cena netto płaci SUEZ]]+Kalkulacja[[#This Row],[Koszt ludzi (zł/Mg)]]+Kalkulacja[[#This Row],[Koszt sprzętu (zł/Mg)]]</f>
        <v>0</v>
      </c>
      <c r="CP17" s="320">
        <f>Kalkulacja[[#This Row],[Cena netto dla Klienta]]+Kalkulacja[[#This Row],[Przychód z odsprzedaży]]-Kalkulacja[[#This Row],[Suma kosztów]]</f>
        <v>0</v>
      </c>
      <c r="CQ17" s="311"/>
      <c r="CR17" s="322">
        <f>IF(IF(Kalkulacja[[#This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(zł/Mg)]]),CR$4)-CR$3)&lt;0,0,IF(Kalkulacja[[#This Row],[Przychód z odsprzedaży]]="",0,ROUNDUP((Kalkulacja[[#This Row],[Przychód z odsprzedaży]]*(1-$CR$5))-(Kalkulacja[[#This Row],[Koszt transportu (zł/Mg)]]+Kalkulacja[[#This Row],[Koszt transportu (zł/Mg) ]]+Kalkulacja[[#This Row],[Dzierżawa (zł/Mg)]]+Kalkulacja[[#This Row],[Koszty dodatkowe (zł/Mg)]]+Kalkulacja[[#This Row],[Koszt sprzętu (zł/Mg)]]+Kalkulacja[[#This Row],[Koszt ludzi (zł/Mg)]]),CR$4)-CR$3))</f>
        <v>0</v>
      </c>
      <c r="CS17" s="323">
        <f>IF(Kalkulacja[[#This Row],[Koszt zagospodarowania/usługi]]="",IF(Kalkulacja[[#This Row],[Cena netto płaci SUEZ]]=0,ROUNDUP(((Kalkulacja[[#This Row],[Koszt transportu (zł/Mg)]]+Kalkulacja[[#This Row],[Koszt transportu (zł/Mg) ]]+Kalkulacja[[#This Row],[Koszt sprzętu (zł/Mg)]]+Kalkulacja[[#This Row],[Dzierżawa (zł/Mg)]]+Kalkulacja[[#This Row],[Koszty dodatkowe (zł/Mg)]]+Kalkulacja[[#This Row],[Koszt ludzi (zł/Mg)]])-Kalkulacja[[#This Row],[Przychód z odsprzedaży]]*(1-$CR$5))/(1-$CR$5),$CR$4)-$CR$3,0),ROUNDUP(Kalkulacja[[#This Row],[Suma kosztów]]/(1-$CS$5),$CS$4)+$CS$3)</f>
        <v>0</v>
      </c>
      <c r="CT17" s="306">
        <f>IFERROR(Kalkulacja[[#This Row],[Zysk (PLN/rok)]]/Kalkulacja[[#This Row],[Obrót (PLN/rok) ]],0)</f>
        <v>0</v>
      </c>
      <c r="CU17" s="324">
        <f>(Kalkulacja[[#This Row],[Cena netto dla Klienta]]+Kalkulacja[[#This Row],[Przychód z odsprzedaży]])*Kalkulacja[[#This Row],[Szacunkowa ilość odpadu (Mg/rok)]]</f>
        <v>0</v>
      </c>
      <c r="CV17" s="325">
        <f>Kalkulacja[[#This Row],[Marża]]*Kalkulacja[[#This Row],[Szacunkowa ilość odpadu (Mg/rok)]]</f>
        <v>0</v>
      </c>
      <c r="CW17" s="308">
        <f>IF(Kalkulacja[[#This Row],[Cena netto płaci SUEZ]]*Kalkulacja[[#This Row],[Szacunkowa ilość odpadu (Mg/rok)]]=0,0,Kalkulacja[[#This Row],[Cena netto płaci SUEZ]]*Kalkulacja[[#This Row],[Szacunkowa ilość odpadu (Mg/rok)]])</f>
        <v>0</v>
      </c>
      <c r="CX17" s="308">
        <f>IF(Kalkulacja[[#This Row],[Cena netto dla Klienta]]*Kalkulacja[[#This Row],[Szacunkowa ilość odpadu (Mg/rok)]] = 0,0,Kalkulacja[[#This Row],[Cena netto dla Klienta]]*Kalkulacja[[#This Row],[Szacunkowa ilość odpadu (Mg/rok)]])</f>
        <v>0</v>
      </c>
      <c r="CY17" s="325">
        <f>Kalkulacja[[#This Row],[Szacunkowa ilość odpadu /rok]]</f>
        <v>0</v>
      </c>
      <c r="CZ17" s="320" t="str">
        <f>IF(Kalkulacja[[#This Row],[Cena netto płaci SUEZ]]&lt;&gt;0,$CZ$2,IF(Kalkulacja[[#This Row],[Cena netto dla Klienta]]&lt;&gt;0,$CZ$3,""))</f>
        <v/>
      </c>
      <c r="DA17" s="506"/>
      <c r="DB17" s="326" t="e">
        <f>Kalkulacja[[#This Row],[Zysk SUEZ Razem '[PLN/rok']]]/Kalkulacja[[#This Row],[Obrót max (PLN/rok)]]</f>
        <v>#DIV/0!</v>
      </c>
      <c r="DC17" s="327">
        <f>Kalkulacja[[#This Row],[Zysk Spółki
(odpady)
 (PLN/rok)]]+Kalkulacja[[#This Row],[Zysk (PLN/rok)]]+Kalkulacja[[#This Row],[Zysk Spółki
(transport)
 (PLN/rok)]]</f>
        <v>0</v>
      </c>
      <c r="DD17" s="310">
        <f>IF(Kalkulacja[[#This Row],[SPÓŁKA]]="TAK",MAX(Kalkulacja[[#This Row],[Obrót (PLN/rok) ]],(Kalkulacja[[#This Row],[Obrót Spółki 
(odpady)
 (PLN/rok)]]+Kalkulacja[[#This Row],[Obrót Spółki 
(transport)
 (PLN/rok)]]),Kalkulacja[[#This Row],[Obrót (PLN/rok) ]]),Kalkulacja[[#This Row],[Obrót (PLN/rok) ]])</f>
        <v>0</v>
      </c>
      <c r="DE17" s="506"/>
    </row>
    <row r="18" spans="1:109" s="406" customFormat="1" ht="15.6">
      <c r="B18" s="433"/>
      <c r="C18" s="507"/>
      <c r="D18" s="507"/>
      <c r="E18" s="508"/>
      <c r="F18" s="508"/>
      <c r="G18" s="509"/>
      <c r="H18" s="510">
        <f>SUBTOTAL(109,Kalkulacja[Szacunkowa ilość odpadu /rok])</f>
        <v>0</v>
      </c>
      <c r="I18" s="508"/>
      <c r="J18" s="508"/>
      <c r="K18" s="511"/>
      <c r="L18" s="511"/>
      <c r="M18" s="511"/>
      <c r="N18" s="511"/>
      <c r="O18" s="511"/>
      <c r="P18" s="508"/>
      <c r="Q18" s="508"/>
      <c r="R18" s="508"/>
      <c r="S18" s="508"/>
      <c r="T18" s="508"/>
      <c r="U18" s="508"/>
      <c r="V18" s="508"/>
      <c r="W18" s="508"/>
      <c r="X18" s="508"/>
      <c r="Y18" s="508"/>
      <c r="Z18" s="508"/>
      <c r="AA18" s="512"/>
      <c r="AB18" s="509"/>
      <c r="AC18" s="509"/>
      <c r="AD18" s="509"/>
      <c r="AE18" s="509"/>
      <c r="AF18" s="509"/>
      <c r="AG18" s="509"/>
      <c r="AH18" s="509"/>
      <c r="AI18" s="509"/>
      <c r="AJ18" s="509"/>
      <c r="AK18" s="509"/>
      <c r="AL18" s="508"/>
      <c r="AM18" s="508"/>
      <c r="AN18" s="508"/>
      <c r="AO18" s="508"/>
      <c r="AP18" s="508"/>
      <c r="AQ18" s="508"/>
      <c r="AR18" s="508"/>
      <c r="AS18" s="508"/>
      <c r="AT18" s="508"/>
      <c r="AU18" s="508"/>
      <c r="AV18" s="508"/>
      <c r="AW18" s="444"/>
      <c r="AX18" s="508"/>
      <c r="AY18" s="513"/>
      <c r="AZ18" s="513"/>
      <c r="BA18" s="513"/>
      <c r="BB18" s="513"/>
      <c r="BC18" s="513"/>
      <c r="BD18" s="513"/>
      <c r="BE18" s="513"/>
      <c r="BF18" s="513"/>
      <c r="BG18" s="513"/>
      <c r="BH18" s="513"/>
      <c r="BI18" s="513"/>
      <c r="BJ18" s="513"/>
      <c r="BK18" s="513"/>
      <c r="BL18" s="444"/>
      <c r="BM18" s="513"/>
      <c r="BN18" s="514"/>
      <c r="BO18" s="515"/>
      <c r="BP18" s="444"/>
      <c r="BQ18" s="328" t="e">
        <f>KSO_odpady!$BU$18/KSO_odpady!$BS$18</f>
        <v>#DIV/0!</v>
      </c>
      <c r="BR18" s="328" t="e">
        <f>KSO_odpady!$BV$18/KSO_odpady!$BT$18</f>
        <v>#DIV/0!</v>
      </c>
      <c r="BS18" s="329">
        <f>SUMIFS(KSO_odpady!$BS$10:$BS$17,KSO_odpady!$BZ$10:$BZ$17,$BZ$22)+SUMIFS(KSO_odpady!$BS$10:$BS$17,KSO_odpady!$BZ$10:$BZ$17,$BZ$23)</f>
        <v>0</v>
      </c>
      <c r="BT18" s="329">
        <f>SUMIFS(KSO_odpady!$BT$10:$BT$17,KSO_odpady!$BZ$10:$BZ$17,$BZ$22)+SUMIFS(KSO_odpady!$BT$10:$BT$17,KSO_odpady!$BZ$10:$BZ$17,$BZ$23)</f>
        <v>0</v>
      </c>
      <c r="BU18" s="329">
        <f>SUMIFS(KSO_odpady!$BU$10:$BU$17,KSO_odpady!$BZ$10:$BZ$17,$BZ$22)+SUMIFS(KSO_odpady!$BU$10:$BU$17,KSO_odpady!$BZ$10:$BZ$17,$BZ$23)</f>
        <v>0</v>
      </c>
      <c r="BV18" s="329">
        <f>SUMIFS(KSO_odpady!$BV$10:$BV$17,KSO_odpady!$BZ$10:$BZ$17,$BZ$22)+SUMIFS(KSO_odpady!$BV$10:$BV$17,KSO_odpady!$BZ$10:$BZ$17,$BZ$23)</f>
        <v>0</v>
      </c>
      <c r="BW18" s="329">
        <f>SUMIFS(KSO_odpady!$BW$10:$BW$17,KSO_odpady!$BZ$10:$BZ$17,$BZ$22)+SUMIFS(KSO_odpady!$BW$10:$BW$17,KSO_odpady!$BZ$10:$BZ$17,$BZ$23)</f>
        <v>0</v>
      </c>
      <c r="BX18" s="329">
        <f>SUMIFS(KSO_odpady!$BX$10:$BX$17,KSO_odpady!$BZ$10:$BZ$17,$BZ$22)+SUMIFS(KSO_odpady!$BX$10:$BX$17,KSO_odpady!$BZ$10:$BZ$17,$BZ$23)</f>
        <v>0</v>
      </c>
      <c r="BY18" s="329">
        <f>SUMIFS(KSO_odpady!$BY$10:$BY$17,KSO_odpady!$BZ$10:$BZ$17,$BZ$22)+SUMIFS(KSO_odpady!$BY$10:$BY$17,KSO_odpady!$BZ$10:$BZ$17,$BZ$23)</f>
        <v>0</v>
      </c>
      <c r="BZ18" s="329"/>
      <c r="CA18" s="509"/>
      <c r="CB18" s="516"/>
      <c r="CC18" s="516"/>
      <c r="CD18" s="515"/>
      <c r="CE18" s="516"/>
      <c r="CF18" s="516"/>
      <c r="CG18" s="515"/>
      <c r="CH18" s="516"/>
      <c r="CI18" s="516"/>
      <c r="CJ18" s="515"/>
      <c r="CK18" s="515"/>
      <c r="CL18" s="515"/>
      <c r="CM18" s="509"/>
      <c r="CN18" s="516"/>
      <c r="CO18" s="516"/>
      <c r="CP18" s="516"/>
      <c r="CQ18" s="516"/>
      <c r="CR18" s="514"/>
      <c r="CS18" s="515"/>
      <c r="CT18" s="330" t="e">
        <f>Kalkulacja[[#Totals],[Zysk (PLN/rok)]]/Kalkulacja[[#Totals],[Obrót (PLN/rok) ]]</f>
        <v>#DIV/0!</v>
      </c>
      <c r="CU18" s="331">
        <f>SUMIFS(Kalkulacja[Obrót (PLN/rok) ],Kalkulacja[Rodzaj odpadu],$CZ$22)+SUMIFS(Kalkulacja[Obrót (PLN/rok) ],Kalkulacja[Rodzaj odpadu],$CZ$23)</f>
        <v>0</v>
      </c>
      <c r="CV18" s="331">
        <f>SUMIFS(Kalkulacja[Zysk (PLN/rok)],Kalkulacja[Rodzaj odpadu],$CZ$22)+SUMIFS(Kalkulacja[Zysk (PLN/rok)],Kalkulacja[Rodzaj odpadu],$CZ$23)</f>
        <v>0</v>
      </c>
      <c r="CW18" s="331">
        <f>SUMIFS(Kalkulacja[SUEZ płaci Klientowi (PLN/rok)],Kalkulacja[Rodzaj odpadu],$CZ$22)+SUMIFS(Kalkulacja[SUEZ płaci Klientowi (PLN/rok)],Kalkulacja[Rodzaj odpadu],$CZ$23)</f>
        <v>0</v>
      </c>
      <c r="CX18" s="331">
        <f>SUMIFS(Kalkulacja[Klient płaci SUEZ (PLN/rok)],Kalkulacja[Rodzaj odpadu],$CZ$22)+SUMIFS(Kalkulacja[Klient płaci SUEZ (PLN/rok)],Kalkulacja[Rodzaj odpadu],$CZ$23)</f>
        <v>0</v>
      </c>
      <c r="CY18" s="331">
        <f>SUMIFS(Kalkulacja[Szacunkowa ilość odpadu (Mg/rok)],Kalkulacja[Rodzaj odpadu],$CZ$22)+SUMIFS(Kalkulacja[Szacunkowa ilość odpadu (Mg/rok)],Kalkulacja[Rodzaj odpadu],$CZ$23)</f>
        <v>0</v>
      </c>
      <c r="DA18" s="513"/>
      <c r="DE18" s="513"/>
    </row>
    <row r="19" spans="1:109">
      <c r="B19" s="86"/>
      <c r="C19" s="87"/>
      <c r="D19" s="87"/>
      <c r="E19" s="88"/>
      <c r="F19" s="88"/>
      <c r="G19" s="89"/>
      <c r="H19" s="90"/>
      <c r="I19" s="89"/>
      <c r="J19" s="89"/>
      <c r="K19" s="91"/>
      <c r="L19" s="91"/>
      <c r="M19" s="91"/>
      <c r="N19" s="91"/>
      <c r="O19" s="91"/>
      <c r="P19" s="92"/>
      <c r="Q19" s="92"/>
      <c r="R19" s="93"/>
      <c r="S19" s="93"/>
      <c r="T19" s="93"/>
      <c r="U19" s="93"/>
      <c r="V19" s="94"/>
      <c r="W19" s="94"/>
      <c r="X19" s="94"/>
      <c r="Y19" s="94"/>
      <c r="Z19" s="94"/>
      <c r="AA19" s="95"/>
      <c r="AB19" s="95"/>
      <c r="AC19" s="95"/>
      <c r="AD19" s="95"/>
      <c r="AE19" s="95"/>
      <c r="AF19" s="95"/>
      <c r="AG19" s="95"/>
      <c r="AH19" s="95"/>
      <c r="AI19" s="95"/>
      <c r="AJ19" s="95"/>
      <c r="AK19" s="89"/>
      <c r="AL19" s="85"/>
      <c r="AM19" s="85"/>
      <c r="AN19" s="85"/>
      <c r="AO19" s="85"/>
      <c r="AP19" s="85"/>
      <c r="AQ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85"/>
      <c r="BU19" s="85"/>
      <c r="BV19" s="85"/>
      <c r="BW19" s="85"/>
      <c r="BX19" s="85"/>
      <c r="CA19" s="85"/>
      <c r="CB19" s="85"/>
      <c r="CC19" s="85"/>
      <c r="CD19" s="85"/>
      <c r="CE19" s="85"/>
      <c r="CF19" s="85"/>
      <c r="CG19" s="85"/>
      <c r="CH19" s="85"/>
      <c r="CI19" s="85"/>
      <c r="CJ19" s="85"/>
      <c r="CK19" s="85"/>
      <c r="CL19" s="85"/>
      <c r="CM19" s="85"/>
      <c r="CN19" s="85"/>
      <c r="CO19" s="85"/>
      <c r="CP19" s="85"/>
      <c r="CQ19" s="85"/>
      <c r="CR19" s="85"/>
      <c r="CS19" s="85"/>
      <c r="CT19" s="85"/>
      <c r="CU19" s="85"/>
      <c r="CV19" s="85"/>
      <c r="CW19" s="85"/>
    </row>
    <row r="20" spans="1:109" ht="20.100000000000001" customHeight="1">
      <c r="BL20" s="237"/>
      <c r="BM20" s="237"/>
      <c r="BT20" s="671" t="s">
        <v>2404</v>
      </c>
      <c r="BU20" s="671"/>
      <c r="BV20" s="671"/>
      <c r="BW20" s="671"/>
      <c r="BX20" s="671"/>
      <c r="BY20" s="671"/>
      <c r="BZ20" s="671"/>
      <c r="CT20" s="671" t="s">
        <v>2403</v>
      </c>
      <c r="CU20" s="671"/>
      <c r="CV20" s="671"/>
      <c r="CW20" s="671"/>
      <c r="CX20" s="671"/>
      <c r="CY20" s="671"/>
      <c r="CZ20" s="671"/>
    </row>
    <row r="21" spans="1:109" ht="45">
      <c r="C21" s="77"/>
      <c r="D21" s="77"/>
      <c r="BI21" s="237"/>
      <c r="BJ21" s="237"/>
      <c r="BK21" s="237"/>
      <c r="BL21" s="237"/>
      <c r="BM21" s="237"/>
      <c r="BN21" s="237"/>
      <c r="BT21" s="659" t="s">
        <v>1014</v>
      </c>
      <c r="BU21" s="659" t="s">
        <v>1017</v>
      </c>
      <c r="BV21" s="659" t="s">
        <v>122</v>
      </c>
      <c r="BW21" s="659" t="s">
        <v>2373</v>
      </c>
      <c r="BX21" s="659" t="s">
        <v>2152</v>
      </c>
      <c r="BY21" s="659" t="s">
        <v>1707</v>
      </c>
      <c r="BZ21" s="659" t="s">
        <v>126</v>
      </c>
      <c r="CT21" s="341" t="s">
        <v>1014</v>
      </c>
      <c r="CU21" s="341" t="s">
        <v>1017</v>
      </c>
      <c r="CV21" s="341" t="s">
        <v>122</v>
      </c>
      <c r="CW21" s="341" t="s">
        <v>2373</v>
      </c>
      <c r="CX21" s="341" t="s">
        <v>2152</v>
      </c>
      <c r="CY21" s="341" t="s">
        <v>1707</v>
      </c>
      <c r="CZ21" s="341" t="s">
        <v>126</v>
      </c>
    </row>
    <row r="22" spans="1:109" ht="35.1" customHeight="1">
      <c r="C22" s="77"/>
      <c r="D22" s="77"/>
      <c r="BN22" s="237"/>
      <c r="BT22" s="332" t="e">
        <f>Tabela13[[#This Row],[Zysk '[PLN/rok']]]/Tabela13[[#This Row],[Obrót '[PLN/rok'] ]]</f>
        <v>#DIV/0!</v>
      </c>
      <c r="BU22" s="333">
        <f>SUMIFS(Kalkulacja[Obrót Spółki 
(transport)
 (PLN/rok)],Kalkulacja[Rodzaj odpadu Spółki],Tabela13[[#This Row],[Podsumowanie]])+SUMIFS(Kalkulacja[Obrót Spółki 
(odpady)
 (PLN/rok)],Kalkulacja[Rodzaj odpadu Spółki],Tabela13[[#This Row],[Podsumowanie]])</f>
        <v>0</v>
      </c>
      <c r="BV22" s="333">
        <f>SUMIFS(Kalkulacja[Zysk Spółki
(odpady)
 (PLN/rok)],Kalkulacja[Rodzaj odpadu Spółki],Tabela13[[#This Row],[Podsumowanie]])+SUMIFS(Kalkulacja[Zysk Spółki
(transport)
 (PLN/rok)],Kalkulacja[Rodzaj odpadu Spółki],)</f>
        <v>0</v>
      </c>
      <c r="BW22" s="333">
        <f>SUMIFS(Kalkulacja[Spółka płaci SUEZ Polska (PLN/rok)],Kalkulacja[Rodzaj odpadu Spółki],Tabela13[[#This Row],[Podsumowanie]])</f>
        <v>0</v>
      </c>
      <c r="BX22" s="333">
        <f>SUMIFS(Kalkulacja[SUEZ Polska płaci Spółce (PLN/rok)],Kalkulacja[Rodzaj odpadu Spółki],Tabela13[[#This Row],[Podsumowanie]])</f>
        <v>0</v>
      </c>
      <c r="BY22" s="333">
        <f>SUMIFS(Kalkulacja[Szacunkowa ilość odpadu dla Spółki
(Mg/rok)],Kalkulacja[Rodzaj odpadu Spółki],Tabela13[[#This Row],[Podsumowanie]])</f>
        <v>0</v>
      </c>
      <c r="BZ22" s="333" t="str">
        <f>CZ3</f>
        <v>Odpady Przemysłowe</v>
      </c>
      <c r="CT22" s="332">
        <f>IFERROR(Podsumowanie[[#This Row],[Zysk '[PLN/rok']]]/Podsumowanie[[#This Row],[Obrót '[PLN/rok'] ]],0)</f>
        <v>0</v>
      </c>
      <c r="CU22" s="333">
        <f>SUMIFS(Kalkulacja[Obrót (PLN/rok) ],Kalkulacja[Rodzaj odpadu],Podsumowanie[[#This Row],[Podsumowanie]])</f>
        <v>0</v>
      </c>
      <c r="CV22" s="333">
        <f>SUMIFS(Kalkulacja[Zysk (PLN/rok)],Kalkulacja[Rodzaj odpadu],Podsumowanie[[#This Row],[Podsumowanie]])</f>
        <v>0</v>
      </c>
      <c r="CW22" s="333">
        <f>SUMIFS(Kalkulacja[SUEZ płaci Klientowi (PLN/rok)],Kalkulacja[Rodzaj odpadu],Podsumowanie[[#This Row],[Podsumowanie]])</f>
        <v>0</v>
      </c>
      <c r="CX22" s="333">
        <f>SUMIFS(Kalkulacja[Klient płaci SUEZ (PLN/rok)],Kalkulacja[Rodzaj odpadu],Podsumowanie[[#This Row],[Podsumowanie]])</f>
        <v>0</v>
      </c>
      <c r="CY22" s="333">
        <f>SUMIFS(Kalkulacja[Szacunkowa ilość odpadu (Mg/rok)],Kalkulacja[Rodzaj odpadu],Podsumowanie[[#This Row],[Podsumowanie]])</f>
        <v>0</v>
      </c>
      <c r="CZ22" s="333" t="str">
        <f>$CZ$3</f>
        <v>Odpady Przemysłowe</v>
      </c>
    </row>
    <row r="23" spans="1:109" ht="35.1" customHeight="1">
      <c r="C23" s="77"/>
      <c r="D23" s="77"/>
      <c r="BN23" s="72"/>
      <c r="BT23" s="334" t="e">
        <f>Tabela13[[#This Row],[Zysk '[PLN/rok']]]/Tabela13[[#This Row],[Obrót '[PLN/rok'] ]]</f>
        <v>#DIV/0!</v>
      </c>
      <c r="BU23" s="333">
        <f>SUMIFS(Kalkulacja[Obrót Spółki 
(transport)
 (PLN/rok)],Kalkulacja[Rodzaj odpadu Spółki],Tabela13[[#This Row],[Podsumowanie]])+SUMIFS(Kalkulacja[Obrót Spółki 
(odpady)
 (PLN/rok)],Kalkulacja[Rodzaj odpadu Spółki],Tabela13[[#This Row],[Podsumowanie]])</f>
        <v>0</v>
      </c>
      <c r="BV23" s="333">
        <f>SUMIFS(Kalkulacja[Zysk Spółki
(odpady)
 (PLN/rok)],Kalkulacja[Rodzaj odpadu Spółki],Tabela13[[#This Row],[Podsumowanie]])+SUMIFS(Kalkulacja[Zysk Spółki
(transport)
 (PLN/rok)],Kalkulacja[Rodzaj odpadu Spółki],)</f>
        <v>0</v>
      </c>
      <c r="BW23" s="333">
        <f>SUMIFS(Kalkulacja[Spółka płaci SUEZ Polska (PLN/rok)],Kalkulacja[Rodzaj odpadu Spółki],Tabela13[[#This Row],[Podsumowanie]])</f>
        <v>0</v>
      </c>
      <c r="BX23" s="333">
        <f>SUMIFS(Kalkulacja[SUEZ Polska płaci Spółce (PLN/rok)],Kalkulacja[Rodzaj odpadu Spółki],Tabela13[[#This Row],[Podsumowanie]])</f>
        <v>0</v>
      </c>
      <c r="BY23" s="333">
        <f>SUMIFS(Kalkulacja[Szacunkowa ilość odpadu dla Spółki
(Mg/rok)],Kalkulacja[Rodzaj odpadu Spółki],Tabela13[[#This Row],[Podsumowanie]])</f>
        <v>0</v>
      </c>
      <c r="BZ23" s="335" t="str">
        <f>CZ2</f>
        <v>Surowce</v>
      </c>
      <c r="CT23" s="334">
        <f>IFERROR(Podsumowanie[[#This Row],[Zysk '[PLN/rok']]]/Podsumowanie[[#This Row],[Obrót '[PLN/rok'] ]],0)</f>
        <v>0</v>
      </c>
      <c r="CU23" s="335">
        <f>SUMIFS(Kalkulacja[Obrót (PLN/rok) ],Kalkulacja[Rodzaj odpadu],Podsumowanie[[#This Row],[Podsumowanie]])</f>
        <v>0</v>
      </c>
      <c r="CV23" s="335">
        <f>SUMIFS(Kalkulacja[Zysk (PLN/rok)],Kalkulacja[Rodzaj odpadu],Podsumowanie[[#This Row],[Podsumowanie]])</f>
        <v>0</v>
      </c>
      <c r="CW23" s="335">
        <f>SUMIFS(Kalkulacja[SUEZ płaci Klientowi (PLN/rok)],Kalkulacja[Rodzaj odpadu],Podsumowanie[[#This Row],[Podsumowanie]])</f>
        <v>0</v>
      </c>
      <c r="CX23" s="335">
        <f>SUMIFS(Kalkulacja[Klient płaci SUEZ (PLN/rok)],Kalkulacja[Rodzaj odpadu],Podsumowanie[[#This Row],[Podsumowanie]])</f>
        <v>0</v>
      </c>
      <c r="CY23" s="335">
        <f>SUMIFS(Kalkulacja[Szacunkowa ilość odpadu (Mg/rok)],Kalkulacja[Rodzaj odpadu],Podsumowanie[[#This Row],[Podsumowanie]])</f>
        <v>0</v>
      </c>
      <c r="CZ23" s="335" t="str">
        <f>$CZ$2</f>
        <v>Surowce</v>
      </c>
    </row>
    <row r="24" spans="1:109" ht="35.1" customHeight="1">
      <c r="C24" s="77"/>
      <c r="D24" s="77"/>
      <c r="BO24" s="77"/>
      <c r="BP24" s="77"/>
      <c r="BT24" s="336" t="e">
        <f>Tabela13[[#This Row],[Zysk '[PLN/rok']]]/Tabela13[[#This Row],[Obrót '[PLN/rok'] ]]</f>
        <v>#DIV/0!</v>
      </c>
      <c r="BU24" s="337">
        <f>SUM(BU22:BU23)</f>
        <v>0</v>
      </c>
      <c r="BV24" s="337">
        <f>SUM(BV22:BV23)</f>
        <v>0</v>
      </c>
      <c r="BW24" s="337">
        <f>SUM(BW22:BW23)</f>
        <v>0</v>
      </c>
      <c r="BX24" s="337">
        <f>SUM(BX22:BX23)</f>
        <v>0</v>
      </c>
      <c r="BY24" s="337">
        <f>SUM(BY22:BY23)</f>
        <v>0</v>
      </c>
      <c r="BZ24" s="338" t="s">
        <v>2201</v>
      </c>
      <c r="CT24" s="336" t="e">
        <f>Podsumowanie[[#Totals],[Zysk '[PLN/rok']]]/Podsumowanie[[#Totals],[Obrót '[PLN/rok'] ]]</f>
        <v>#DIV/0!</v>
      </c>
      <c r="CU24" s="337">
        <f>SUBTOTAL(109,Podsumowanie[Obrót '[PLN/rok'] ])</f>
        <v>0</v>
      </c>
      <c r="CV24" s="337">
        <f>SUBTOTAL(109,Podsumowanie[Zysk '[PLN/rok']])</f>
        <v>0</v>
      </c>
      <c r="CW24" s="337">
        <f>SUBTOTAL(109,Podsumowanie[SUEZ płaci Klientowi '[PLN/rok']])</f>
        <v>0</v>
      </c>
      <c r="CX24" s="337">
        <f>SUBTOTAL(109,Podsumowanie[Klient płaci SUEZ '[PLN/rok']])</f>
        <v>0</v>
      </c>
      <c r="CY24" s="337">
        <f>SUBTOTAL(109,Podsumowanie[Ilość odpadów 
'[Mg/rok']])</f>
        <v>0</v>
      </c>
      <c r="CZ24" s="338" t="s">
        <v>2201</v>
      </c>
    </row>
    <row r="25" spans="1:109">
      <c r="C25" s="77"/>
      <c r="D25" s="77"/>
      <c r="R25" s="77"/>
      <c r="S25" s="77"/>
      <c r="T25" s="77"/>
      <c r="U25" s="77"/>
      <c r="BN25" s="237"/>
      <c r="BO25" s="77"/>
      <c r="BP25" s="77"/>
      <c r="BW25" s="85"/>
      <c r="BX25" s="85"/>
      <c r="BY25" s="85"/>
      <c r="BZ25" s="85"/>
      <c r="CT25" s="285"/>
      <c r="CU25" s="284"/>
      <c r="CV25" s="284"/>
      <c r="CW25" s="284"/>
      <c r="CX25" s="284"/>
      <c r="CY25" s="284"/>
      <c r="CZ25" s="284"/>
    </row>
    <row r="26" spans="1:109" ht="20.100000000000001" customHeight="1">
      <c r="C26" s="77"/>
      <c r="D26" s="77"/>
      <c r="R26" s="77"/>
      <c r="S26" s="77"/>
      <c r="T26" s="77"/>
      <c r="U26" s="77"/>
      <c r="BO26" s="77"/>
      <c r="BP26" s="77"/>
      <c r="CT26" s="671" t="s">
        <v>2496</v>
      </c>
      <c r="CU26" s="671"/>
      <c r="CV26" s="671"/>
      <c r="CW26" s="671"/>
      <c r="CX26" s="671"/>
      <c r="CY26" s="671"/>
      <c r="CZ26" s="671"/>
    </row>
    <row r="27" spans="1:109" ht="45">
      <c r="A27" s="96"/>
      <c r="C27" s="96"/>
      <c r="D27" s="96"/>
      <c r="E27" s="96"/>
      <c r="R27" s="77"/>
      <c r="S27" s="77"/>
      <c r="T27" s="77"/>
      <c r="U27" s="77"/>
      <c r="BO27" s="77"/>
      <c r="BP27" s="77"/>
      <c r="CT27" s="341" t="s">
        <v>1014</v>
      </c>
      <c r="CU27" s="341" t="s">
        <v>1017</v>
      </c>
      <c r="CV27" s="341" t="s">
        <v>122</v>
      </c>
      <c r="CW27" s="341" t="s">
        <v>2373</v>
      </c>
      <c r="CX27" s="341" t="s">
        <v>2152</v>
      </c>
      <c r="CY27" s="341" t="s">
        <v>1707</v>
      </c>
      <c r="CZ27" s="341" t="s">
        <v>126</v>
      </c>
      <c r="DA27" s="96"/>
    </row>
    <row r="28" spans="1:109" ht="35.1" customHeight="1">
      <c r="B28" s="97"/>
      <c r="C28" s="77"/>
      <c r="D28" s="77"/>
      <c r="F28" s="96"/>
      <c r="G28" s="96"/>
      <c r="H28" s="96"/>
      <c r="I28" s="96"/>
      <c r="J28" s="96"/>
      <c r="K28" s="98"/>
      <c r="L28" s="98"/>
      <c r="M28" s="98"/>
      <c r="N28" s="98"/>
      <c r="O28" s="98"/>
      <c r="P28" s="99"/>
      <c r="Q28" s="99"/>
      <c r="R28" s="84"/>
      <c r="S28" s="84"/>
      <c r="T28" s="84"/>
      <c r="U28" s="84"/>
      <c r="V28" s="84"/>
      <c r="W28" s="84"/>
      <c r="X28" s="84"/>
      <c r="Y28" s="84"/>
      <c r="Z28" s="84"/>
      <c r="AK28" s="96"/>
      <c r="AL28" s="96"/>
      <c r="AM28" s="96"/>
      <c r="AN28" s="96"/>
      <c r="AO28" s="96"/>
      <c r="AP28" s="96"/>
      <c r="AQ28" s="96"/>
      <c r="AS28" s="96"/>
      <c r="AT28" s="96"/>
      <c r="AU28" s="96"/>
      <c r="AV28" s="96"/>
      <c r="AW28" s="96"/>
      <c r="AX28" s="96"/>
      <c r="AY28" s="96"/>
      <c r="AZ28" s="96"/>
      <c r="BA28" s="96"/>
      <c r="BB28" s="96"/>
      <c r="BC28" s="96"/>
      <c r="BD28" s="96"/>
      <c r="BE28" s="96"/>
      <c r="BF28" s="96"/>
      <c r="BG28" s="96"/>
      <c r="BH28" s="85"/>
      <c r="BI28" s="85"/>
      <c r="BJ28" s="85"/>
      <c r="BK28" s="85"/>
      <c r="BL28" s="96"/>
      <c r="BM28" s="96"/>
      <c r="BN28" s="96"/>
      <c r="BO28" s="96"/>
      <c r="BP28" s="96"/>
      <c r="BQ28" s="96"/>
      <c r="CA28" s="96"/>
      <c r="CB28" s="96"/>
      <c r="CC28" s="96"/>
      <c r="CD28" s="96"/>
      <c r="CE28" s="96"/>
      <c r="CF28" s="96"/>
      <c r="CG28" s="96"/>
      <c r="CH28" s="96"/>
      <c r="CI28" s="96"/>
      <c r="CJ28" s="96"/>
      <c r="CK28" s="96"/>
      <c r="CL28" s="96"/>
      <c r="CM28" s="96"/>
      <c r="CN28" s="96"/>
      <c r="CO28" s="96"/>
      <c r="CP28" s="96"/>
      <c r="CQ28" s="96"/>
      <c r="CR28" s="96"/>
      <c r="CT28" s="332" t="e">
        <f>Podsumowanie24[[#This Row],[Zysk '[PLN/rok']]]/Podsumowanie24[[#This Row],[Obrót '[PLN/rok'] ]]</f>
        <v>#DIV/0!</v>
      </c>
      <c r="CU28" s="333">
        <f>SUMIFS(Kalkulacja[Obrót max (PLN/rok)],Kalkulacja[Rodzaj odpadu],Podsumowanie24[[#This Row],[Podsumowanie]])</f>
        <v>0</v>
      </c>
      <c r="CV28" s="333">
        <f>CV22+BV22</f>
        <v>0</v>
      </c>
      <c r="CW28" s="333">
        <f t="shared" ref="CW28:CY29" si="2">CW22</f>
        <v>0</v>
      </c>
      <c r="CX28" s="333">
        <f t="shared" si="2"/>
        <v>0</v>
      </c>
      <c r="CY28" s="333">
        <f t="shared" si="2"/>
        <v>0</v>
      </c>
      <c r="CZ28" s="333" t="str">
        <f>$CZ$3</f>
        <v>Odpady Przemysłowe</v>
      </c>
    </row>
    <row r="29" spans="1:109" ht="35.1" customHeight="1">
      <c r="C29" s="77"/>
      <c r="D29" s="77"/>
      <c r="BL29" s="238"/>
      <c r="BM29" s="238"/>
      <c r="BN29" s="238"/>
      <c r="BO29" s="239"/>
      <c r="BP29" s="239"/>
      <c r="BQ29" s="238"/>
      <c r="BR29" s="240"/>
      <c r="CT29" s="334" t="e">
        <f>Podsumowanie24[[#This Row],[Zysk '[PLN/rok']]]/Podsumowanie24[[#This Row],[Obrót '[PLN/rok'] ]]</f>
        <v>#DIV/0!</v>
      </c>
      <c r="CU29" s="333">
        <f>SUMIFS(Kalkulacja[Obrót max (PLN/rok)],Kalkulacja[Rodzaj odpadu],Podsumowanie24[[#This Row],[Podsumowanie]])</f>
        <v>0</v>
      </c>
      <c r="CV29" s="335">
        <f>CV23+BV23</f>
        <v>0</v>
      </c>
      <c r="CW29" s="335">
        <f t="shared" si="2"/>
        <v>0</v>
      </c>
      <c r="CX29" s="335">
        <f t="shared" si="2"/>
        <v>0</v>
      </c>
      <c r="CY29" s="335">
        <f t="shared" si="2"/>
        <v>0</v>
      </c>
      <c r="CZ29" s="335" t="str">
        <f>$CZ$2</f>
        <v>Surowce</v>
      </c>
    </row>
    <row r="30" spans="1:109" ht="35.1" customHeight="1">
      <c r="C30" s="77"/>
      <c r="D30" s="77"/>
      <c r="CT30" s="339" t="e">
        <f>Podsumowanie24[[#Totals],[Zysk '[PLN/rok']]]/Podsumowanie24[[#Totals],[Obrót '[PLN/rok'] ]]</f>
        <v>#DIV/0!</v>
      </c>
      <c r="CU30" s="340">
        <f>SUBTOTAL(109,Podsumowanie24[Obrót '[PLN/rok'] ])</f>
        <v>0</v>
      </c>
      <c r="CV30" s="340">
        <f>SUBTOTAL(109,Podsumowanie24[Zysk '[PLN/rok']])</f>
        <v>0</v>
      </c>
      <c r="CW30" s="340">
        <f>SUBTOTAL(109,Podsumowanie24[SUEZ płaci Klientowi '[PLN/rok']])</f>
        <v>0</v>
      </c>
      <c r="CX30" s="340">
        <f>SUBTOTAL(109,Podsumowanie24[Klient płaci SUEZ '[PLN/rok']])</f>
        <v>0</v>
      </c>
      <c r="CY30" s="340">
        <f>SUBTOTAL(109,Podsumowanie24[Ilość odpadów 
'[Mg/rok']])</f>
        <v>0</v>
      </c>
      <c r="CZ30" s="338" t="s">
        <v>2201</v>
      </c>
    </row>
  </sheetData>
  <mergeCells count="30">
    <mergeCell ref="CT26:CZ26"/>
    <mergeCell ref="DB7:DD7"/>
    <mergeCell ref="CN8:CP8"/>
    <mergeCell ref="CT20:CZ20"/>
    <mergeCell ref="BT20:BZ20"/>
    <mergeCell ref="CW8:CX8"/>
    <mergeCell ref="CY8:CZ8"/>
    <mergeCell ref="DB8:DD8"/>
    <mergeCell ref="CB8:CD8"/>
    <mergeCell ref="CE8:CG8"/>
    <mergeCell ref="CB7:CZ7"/>
    <mergeCell ref="CT8:CV8"/>
    <mergeCell ref="CH8:CL8"/>
    <mergeCell ref="CQ8:CS8"/>
    <mergeCell ref="AX7:BZ7"/>
    <mergeCell ref="BY8:BZ8"/>
    <mergeCell ref="G1:I1"/>
    <mergeCell ref="G2:I2"/>
    <mergeCell ref="E1:F1"/>
    <mergeCell ref="E2:F2"/>
    <mergeCell ref="AB8:AJ8"/>
    <mergeCell ref="R8:X8"/>
    <mergeCell ref="K8:N8"/>
    <mergeCell ref="BQ8:BV8"/>
    <mergeCell ref="BW8:BX8"/>
    <mergeCell ref="BG8:BK8"/>
    <mergeCell ref="AX8:AZ8"/>
    <mergeCell ref="BA8:BC8"/>
    <mergeCell ref="BD8:BF8"/>
    <mergeCell ref="BM8:BO8"/>
  </mergeCells>
  <conditionalFormatting sqref="AB10:AB11 AD10:AD11 AD13:AD17 AB13:AB17">
    <cfRule type="cellIs" dxfId="678" priority="40" operator="equal">
      <formula>"ű"</formula>
    </cfRule>
    <cfRule type="cellIs" dxfId="677" priority="43" operator="equal">
      <formula>"Ö"</formula>
    </cfRule>
  </conditionalFormatting>
  <conditionalFormatting sqref="CB10:CL11 BQ10:BZ11 A10:BO10 CN10:CZ10 A11:Y11 AN11:AU11 CO11:CZ11 AW11:BO11 CO13:CZ17 A13:Y17 AW13:BZ17 CB13:CL17 AN13:AU17 CN11:CN17 AV11:AV17 AM11:AM17 AA13:AL17 AA11:AL11 Z11:Z17">
    <cfRule type="expression" dxfId="676" priority="45">
      <formula>$CZ10="Wyłączony z obrotu"</formula>
    </cfRule>
  </conditionalFormatting>
  <conditionalFormatting sqref="DB10:DD11 DB13:DD17">
    <cfRule type="expression" dxfId="675" priority="128">
      <formula>$BZ10&lt;&gt;""</formula>
    </cfRule>
  </conditionalFormatting>
  <conditionalFormatting sqref="BL10:BL11">
    <cfRule type="expression" dxfId="674" priority="12">
      <formula>$CZ10="Wyłączony z obrotu"</formula>
    </cfRule>
  </conditionalFormatting>
  <conditionalFormatting sqref="BP10:BP11">
    <cfRule type="expression" dxfId="673" priority="11">
      <formula>$CZ10="Wyłączony z obrotu"</formula>
    </cfRule>
  </conditionalFormatting>
  <conditionalFormatting sqref="AX10:BL11 BQ10:BZ11 BQ13:BZ17 AX13:BL17">
    <cfRule type="expression" dxfId="672" priority="10">
      <formula>$AM10="Nie"</formula>
    </cfRule>
  </conditionalFormatting>
  <conditionalFormatting sqref="AD12 AB12">
    <cfRule type="cellIs" dxfId="671" priority="5" operator="equal">
      <formula>"ű"</formula>
    </cfRule>
    <cfRule type="cellIs" dxfId="670" priority="6" operator="equal">
      <formula>"Ö"</formula>
    </cfRule>
  </conditionalFormatting>
  <conditionalFormatting sqref="CO12:CZ12 A12:Y12 BQ12:BZ12 CB12:CL12 AN12:AU12 AW12:BO12 AA12:AL12">
    <cfRule type="expression" dxfId="669" priority="7">
      <formula>$CZ12="Wyłączony z obrotu"</formula>
    </cfRule>
  </conditionalFormatting>
  <conditionalFormatting sqref="DB12:DD12">
    <cfRule type="expression" dxfId="668" priority="8">
      <formula>$BZ12&lt;&gt;""</formula>
    </cfRule>
  </conditionalFormatting>
  <conditionalFormatting sqref="BL12">
    <cfRule type="expression" dxfId="667" priority="4">
      <formula>$CZ12="Wyłączony z obrotu"</formula>
    </cfRule>
  </conditionalFormatting>
  <conditionalFormatting sqref="BP12">
    <cfRule type="expression" dxfId="666" priority="3">
      <formula>$CZ12="Wyłączony z obrotu"</formula>
    </cfRule>
  </conditionalFormatting>
  <conditionalFormatting sqref="BQ12:BZ12 AX12:BL12">
    <cfRule type="expression" dxfId="665" priority="2">
      <formula>$AM12="Nie"</formula>
    </cfRule>
  </conditionalFormatting>
  <conditionalFormatting sqref="H10:H17 B10:E17 CU10:CU17">
    <cfRule type="expression" dxfId="664" priority="170">
      <formula>$CU10&gt;$CU$3</formula>
    </cfRule>
  </conditionalFormatting>
  <dataValidations disablePrompts="1" count="6">
    <dataValidation type="list" allowBlank="1" showInputMessage="1" showErrorMessage="1" sqref="AM10:AM17 AH10:AI17">
      <formula1>"TAK,NIE"</formula1>
    </dataValidation>
    <dataValidation type="list" allowBlank="1" showInputMessage="1" showErrorMessage="1" sqref="C10:D17">
      <formula1>Kody_odpadów</formula1>
    </dataValidation>
    <dataValidation type="list" allowBlank="1" showInputMessage="1" showErrorMessage="1" sqref="X10:X17 V10:V17">
      <formula1>"Klient, Odbiorca, SUEZ"</formula1>
    </dataValidation>
    <dataValidation type="list" allowBlank="1" showDropDown="1" showInputMessage="1" showErrorMessage="1" errorTitle="Kliknij dwa razy" error="Jeżeli chcesz wprowadzić zmianę kliknij komórkę dwa razy." sqref="AB10:AB17">
      <formula1>"Ö, ű"</formula1>
    </dataValidation>
    <dataValidation type="list" allowBlank="1" showDropDown="1" showInputMessage="1" showErrorMessage="1" errorTitle="Kliknij dwa razy komórkę." error="UWAGA aby zmienić komórkę kliknij ją dwa razy." sqref="AD10:AD17">
      <formula1>"Ö, ű"</formula1>
    </dataValidation>
    <dataValidation type="list" allowBlank="1" showInputMessage="1" showErrorMessage="1" sqref="CZ10:CZ17">
      <formula1>$CZ$2:$CZ$5</formula1>
    </dataValidation>
  </dataValidations>
  <pageMargins left="0.25" right="0.25" top="0.75" bottom="0.75" header="0.3" footer="0.3"/>
  <pageSetup paperSize="8" scale="42" orientation="landscape" cellComments="asDisplayed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33" r:id="rId4" name="spółka_B">
          <controlPr defaultSize="0" autoLine="0" autoPict="0" r:id="rId5">
            <anchor moveWithCells="1">
              <from>
                <xdr:col>5</xdr:col>
                <xdr:colOff>0</xdr:colOff>
                <xdr:row>4</xdr:row>
                <xdr:rowOff>45720</xdr:rowOff>
              </from>
              <to>
                <xdr:col>6</xdr:col>
                <xdr:colOff>0</xdr:colOff>
                <xdr:row>5</xdr:row>
                <xdr:rowOff>83820</xdr:rowOff>
              </to>
            </anchor>
          </controlPr>
        </control>
      </mc:Choice>
      <mc:Fallback>
        <control shapeId="2133" r:id="rId4" name="spółka_B"/>
      </mc:Fallback>
    </mc:AlternateContent>
    <mc:AlternateContent xmlns:mc="http://schemas.openxmlformats.org/markup-compatibility/2006">
      <mc:Choice Requires="x14">
        <control shapeId="2114" r:id="rId6" name="Koszty">
          <controlPr defaultSize="0" autoLine="0" r:id="rId7">
            <anchor moveWithCells="1">
              <from>
                <xdr:col>109</xdr:col>
                <xdr:colOff>0</xdr:colOff>
                <xdr:row>2</xdr:row>
                <xdr:rowOff>220980</xdr:rowOff>
              </from>
              <to>
                <xdr:col>111</xdr:col>
                <xdr:colOff>114300</xdr:colOff>
                <xdr:row>4</xdr:row>
                <xdr:rowOff>0</xdr:rowOff>
              </to>
            </anchor>
          </controlPr>
        </control>
      </mc:Choice>
      <mc:Fallback>
        <control shapeId="2114" r:id="rId6" name="Koszty"/>
      </mc:Fallback>
    </mc:AlternateContent>
    <mc:AlternateContent xmlns:mc="http://schemas.openxmlformats.org/markup-compatibility/2006">
      <mc:Choice Requires="x14">
        <control shapeId="2100" r:id="rId8" name="uwagi_b">
          <controlPr defaultSize="0" autoLine="0" r:id="rId9">
            <anchor moveWithCells="1" sizeWithCells="1">
              <from>
                <xdr:col>25</xdr:col>
                <xdr:colOff>106680</xdr:colOff>
                <xdr:row>5</xdr:row>
                <xdr:rowOff>137160</xdr:rowOff>
              </from>
              <to>
                <xdr:col>25</xdr:col>
                <xdr:colOff>1257300</xdr:colOff>
                <xdr:row>7</xdr:row>
                <xdr:rowOff>175260</xdr:rowOff>
              </to>
            </anchor>
          </controlPr>
        </control>
      </mc:Choice>
      <mc:Fallback>
        <control shapeId="2100" r:id="rId8" name="uwagi_b"/>
      </mc:Fallback>
    </mc:AlternateContent>
    <mc:AlternateContent xmlns:mc="http://schemas.openxmlformats.org/markup-compatibility/2006">
      <mc:Choice Requires="x14">
        <control shapeId="2102" r:id="rId10" name="Pojemniki_b">
          <controlPr defaultSize="0" autoLine="0" r:id="rId11">
            <anchor moveWithCells="1" sizeWithCells="1">
              <from>
                <xdr:col>25</xdr:col>
                <xdr:colOff>198120</xdr:colOff>
                <xdr:row>8</xdr:row>
                <xdr:rowOff>76200</xdr:rowOff>
              </from>
              <to>
                <xdr:col>25</xdr:col>
                <xdr:colOff>1143000</xdr:colOff>
                <xdr:row>8</xdr:row>
                <xdr:rowOff>480060</xdr:rowOff>
              </to>
            </anchor>
          </controlPr>
        </control>
      </mc:Choice>
      <mc:Fallback>
        <control shapeId="2102" r:id="rId10" name="Pojemniki_b"/>
      </mc:Fallback>
    </mc:AlternateContent>
    <mc:AlternateContent xmlns:mc="http://schemas.openxmlformats.org/markup-compatibility/2006">
      <mc:Choice Requires="x14">
        <control shapeId="2104" r:id="rId12" name="adres_b">
          <controlPr defaultSize="0" autoLine="0" r:id="rId13">
            <anchor moveWithCells="1" sizeWithCells="1">
              <from>
                <xdr:col>15</xdr:col>
                <xdr:colOff>121920</xdr:colOff>
                <xdr:row>8</xdr:row>
                <xdr:rowOff>76200</xdr:rowOff>
              </from>
              <to>
                <xdr:col>15</xdr:col>
                <xdr:colOff>1013460</xdr:colOff>
                <xdr:row>8</xdr:row>
                <xdr:rowOff>480060</xdr:rowOff>
              </to>
            </anchor>
          </controlPr>
        </control>
      </mc:Choice>
      <mc:Fallback>
        <control shapeId="2104" r:id="rId12" name="adres_b"/>
      </mc:Fallback>
    </mc:AlternateContent>
    <mc:AlternateContent xmlns:mc="http://schemas.openxmlformats.org/markup-compatibility/2006">
      <mc:Choice Requires="x14">
        <control shapeId="2110" r:id="rId14" name="Opcja">
          <controlPr defaultSize="0" autoLine="0" autoPict="0" r:id="rId15">
            <anchor moveWithCells="1" sizeWithCells="1">
              <from>
                <xdr:col>2</xdr:col>
                <xdr:colOff>0</xdr:colOff>
                <xdr:row>6</xdr:row>
                <xdr:rowOff>22860</xdr:rowOff>
              </from>
              <to>
                <xdr:col>4</xdr:col>
                <xdr:colOff>0</xdr:colOff>
                <xdr:row>7</xdr:row>
                <xdr:rowOff>198120</xdr:rowOff>
              </to>
            </anchor>
          </controlPr>
        </control>
      </mc:Choice>
      <mc:Fallback>
        <control shapeId="2110" r:id="rId14" name="Opcja"/>
      </mc:Fallback>
    </mc:AlternateContent>
    <mc:AlternateContent xmlns:mc="http://schemas.openxmlformats.org/markup-compatibility/2006">
      <mc:Choice Requires="x14">
        <control shapeId="2111" r:id="rId16" name="Spółki_b">
          <controlPr defaultSize="0" autoLine="0" autoPict="0" r:id="rId17">
            <anchor moveWithCells="1">
              <from>
                <xdr:col>65</xdr:col>
                <xdr:colOff>0</xdr:colOff>
                <xdr:row>4</xdr:row>
                <xdr:rowOff>0</xdr:rowOff>
              </from>
              <to>
                <xdr:col>67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2111" r:id="rId16" name="Spółki_b"/>
      </mc:Fallback>
    </mc:AlternateContent>
    <mc:AlternateContent xmlns:mc="http://schemas.openxmlformats.org/markup-compatibility/2006">
      <mc:Choice Requires="x14">
        <control shapeId="2123" r:id="rId18" name="handlowiec_b">
          <controlPr defaultSize="0" autoLine="0" autoPict="0" r:id="rId1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123" r:id="rId18" name="handlowiec_b"/>
      </mc:Fallback>
    </mc:AlternateContent>
    <mc:AlternateContent xmlns:mc="http://schemas.openxmlformats.org/markup-compatibility/2006">
      <mc:Choice Requires="x14">
        <control shapeId="2124" r:id="rId20" name="wyceny_b">
          <controlPr defaultSize="0" autoLine="0" autoPict="0" r:id="rId21">
            <anchor moveWithCells="1">
              <from>
                <xdr:col>5</xdr:col>
                <xdr:colOff>1379220</xdr:colOff>
                <xdr:row>2</xdr:row>
                <xdr:rowOff>0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124" r:id="rId20" name="wyceny_b"/>
      </mc:Fallback>
    </mc:AlternateContent>
    <mc:AlternateContent xmlns:mc="http://schemas.openxmlformats.org/markup-compatibility/2006">
      <mc:Choice Requires="x14">
        <control shapeId="2125" r:id="rId22" name="kalkulacje_b">
          <controlPr defaultSize="0" autoLine="0" autoPict="0" r:id="rId23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45720</xdr:rowOff>
              </to>
            </anchor>
          </controlPr>
        </control>
      </mc:Choice>
      <mc:Fallback>
        <control shapeId="2125" r:id="rId22" name="kalkulacje_b"/>
      </mc:Fallback>
    </mc:AlternateContent>
    <mc:AlternateContent xmlns:mc="http://schemas.openxmlformats.org/markup-compatibility/2006">
      <mc:Choice Requires="x14">
        <control shapeId="2126" r:id="rId24" name="akceptacja_b">
          <controlPr defaultSize="0" autoLine="0" autoPict="0" r:id="rId25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0</xdr:colOff>
                <xdr:row>4</xdr:row>
                <xdr:rowOff>7620</xdr:rowOff>
              </to>
            </anchor>
          </controlPr>
        </control>
      </mc:Choice>
      <mc:Fallback>
        <control shapeId="2126" r:id="rId24" name="akceptacja_b"/>
      </mc:Fallback>
    </mc:AlternateContent>
    <mc:AlternateContent xmlns:mc="http://schemas.openxmlformats.org/markup-compatibility/2006">
      <mc:Choice Requires="x14">
        <control shapeId="2129" r:id="rId26" name="Wspólna_m">
          <controlPr defaultSize="0" autoLine="0" r:id="rId27">
            <anchor moveWithCells="1">
              <from>
                <xdr:col>109</xdr:col>
                <xdr:colOff>0</xdr:colOff>
                <xdr:row>0</xdr:row>
                <xdr:rowOff>0</xdr:rowOff>
              </from>
              <to>
                <xdr:col>110</xdr:col>
                <xdr:colOff>175260</xdr:colOff>
                <xdr:row>2</xdr:row>
                <xdr:rowOff>0</xdr:rowOff>
              </to>
            </anchor>
          </controlPr>
        </control>
      </mc:Choice>
      <mc:Fallback>
        <control shapeId="2129" r:id="rId26" name="Wspólna_m"/>
      </mc:Fallback>
    </mc:AlternateContent>
    <mc:AlternateContent xmlns:mc="http://schemas.openxmlformats.org/markup-compatibility/2006">
      <mc:Choice Requires="x14">
        <control shapeId="2138" r:id="rId28" name="dodatkowe_uwagi">
          <controlPr defaultSize="0" autoLine="0" r:id="rId29">
            <anchor moveWithCells="1">
              <from>
                <xdr:col>38</xdr:col>
                <xdr:colOff>990600</xdr:colOff>
                <xdr:row>19</xdr:row>
                <xdr:rowOff>137160</xdr:rowOff>
              </from>
              <to>
                <xdr:col>46</xdr:col>
                <xdr:colOff>0</xdr:colOff>
                <xdr:row>40</xdr:row>
                <xdr:rowOff>114300</xdr:rowOff>
              </to>
            </anchor>
          </controlPr>
        </control>
      </mc:Choice>
      <mc:Fallback>
        <control shapeId="2138" r:id="rId28" name="dodatkowe_uwagi"/>
      </mc:Fallback>
    </mc:AlternateContent>
  </controls>
  <tableParts count="7">
    <tablePart r:id="rId30"/>
    <tablePart r:id="rId31"/>
    <tablePart r:id="rId32"/>
    <tablePart r:id="rId33"/>
    <tablePart r:id="rId34"/>
    <tablePart r:id="rId35"/>
    <tablePart r:id="rId36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Listy_rozwijane!$Q$1:$Q$2</xm:f>
          </x14:formula1>
          <xm:sqref>CC3</xm:sqref>
        </x14:dataValidation>
        <x14:dataValidation type="list" allowBlank="1" showInputMessage="1" showErrorMessage="1">
          <x14:formula1>
            <xm:f>Listy_rozwijane!$C$2:$C$5</xm:f>
          </x14:formula1>
          <xm:sqref>G10:G17</xm:sqref>
        </x14:dataValidation>
        <x14:dataValidation type="list" allowBlank="1" showInputMessage="1" showErrorMessage="1">
          <x14:formula1>
            <xm:f>Listy_rozwijane!$I$1:$I$11</xm:f>
          </x14:formula1>
          <xm:sqref>AW10:AW17 CA10:CA17</xm:sqref>
        </x14:dataValidation>
        <x14:dataValidation type="list" allowBlank="1" showInputMessage="1" showErrorMessage="1">
          <x14:formula1>
            <xm:f>Listy_rozwijane!$I$1:$I$12</xm:f>
          </x14:formula1>
          <xm:sqref>AV10:AV17</xm:sqref>
        </x14:dataValidation>
        <x14:dataValidation type="list" errorStyle="information" allowBlank="1" showInputMessage="1">
          <x14:formula1>
            <xm:f>Listy_rozwijane!$I$1:$I$12</xm:f>
          </x14:formula1>
          <xm:sqref>CN10:CN17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4">
    <tabColor rgb="FF8ACC45"/>
  </sheetPr>
  <dimension ref="A1:AD2411"/>
  <sheetViews>
    <sheetView zoomScale="40" zoomScaleNormal="40" workbookViewId="0">
      <selection activeCell="A28" sqref="A28:E28"/>
    </sheetView>
  </sheetViews>
  <sheetFormatPr defaultColWidth="9.109375" defaultRowHeight="10.199999999999999"/>
  <cols>
    <col min="1" max="1" width="9.5546875" style="344" bestFit="1" customWidth="1"/>
    <col min="2" max="2" width="27.88671875" style="344" customWidth="1"/>
    <col min="3" max="3" width="18.6640625" style="344" customWidth="1"/>
    <col min="4" max="4" width="22" style="344" customWidth="1"/>
    <col min="5" max="5" width="20.88671875" style="344" customWidth="1"/>
    <col min="6" max="7" width="16.33203125" style="344" customWidth="1"/>
    <col min="8" max="8" width="15" style="344" bestFit="1" customWidth="1"/>
    <col min="9" max="9" width="23.109375" style="344" customWidth="1"/>
    <col min="10" max="10" width="15.5546875" style="344" customWidth="1"/>
    <col min="11" max="11" width="16.44140625" style="344" customWidth="1"/>
    <col min="12" max="12" width="20.5546875" style="360" bestFit="1" customWidth="1"/>
    <col min="13" max="13" width="13.6640625" style="344" customWidth="1"/>
    <col min="14" max="15" width="16.33203125" style="344" customWidth="1"/>
    <col min="16" max="16" width="13.109375" style="344" customWidth="1"/>
    <col min="17" max="17" width="14.5546875" style="344" bestFit="1" customWidth="1"/>
    <col min="18" max="18" width="23.88671875" style="344" customWidth="1"/>
    <col min="19" max="19" width="15.88671875" style="344" customWidth="1"/>
    <col min="20" max="20" width="13.88671875" style="344" customWidth="1"/>
    <col min="21" max="22" width="15.5546875" style="344" customWidth="1"/>
    <col min="23" max="23" width="48.6640625" style="347" customWidth="1"/>
    <col min="24" max="24" width="18.88671875" style="347" customWidth="1"/>
    <col min="25" max="25" width="15.44140625" style="347" customWidth="1"/>
    <col min="26" max="30" width="9.109375" style="347"/>
    <col min="31" max="16384" width="9.109375" style="68"/>
  </cols>
  <sheetData>
    <row r="1" spans="1:23" s="347" customFormat="1">
      <c r="A1" s="342"/>
      <c r="B1" s="343"/>
      <c r="C1" s="343"/>
      <c r="D1" s="344"/>
      <c r="E1" s="345" t="b">
        <v>1</v>
      </c>
      <c r="F1" s="346"/>
      <c r="G1" s="346"/>
      <c r="H1" s="344"/>
      <c r="K1" s="348"/>
      <c r="L1" s="349"/>
      <c r="R1" s="344"/>
      <c r="V1" s="350"/>
    </row>
    <row r="2" spans="1:23" s="354" customFormat="1" ht="15.6">
      <c r="A2" s="351"/>
      <c r="B2" s="351"/>
      <c r="C2" s="352"/>
      <c r="D2" s="353"/>
      <c r="E2" s="351"/>
      <c r="F2" s="351"/>
      <c r="G2" s="351"/>
      <c r="H2" s="351"/>
      <c r="I2" s="351"/>
      <c r="J2" s="347"/>
      <c r="K2" s="351"/>
      <c r="L2" s="351"/>
      <c r="M2" s="351"/>
      <c r="N2" s="351"/>
      <c r="O2" s="351"/>
      <c r="S2" s="347"/>
      <c r="U2" s="347"/>
      <c r="V2" s="570" t="s">
        <v>1736</v>
      </c>
      <c r="W2" s="571">
        <v>3</v>
      </c>
    </row>
    <row r="3" spans="1:23" s="354" customFormat="1">
      <c r="A3" s="351"/>
      <c r="B3" s="351"/>
      <c r="C3" s="352"/>
      <c r="E3" s="351"/>
      <c r="F3" s="351"/>
      <c r="G3" s="351"/>
      <c r="H3" s="351"/>
      <c r="I3" s="351"/>
      <c r="J3" s="347"/>
      <c r="K3" s="351"/>
      <c r="L3" s="351"/>
      <c r="M3" s="351"/>
      <c r="N3" s="351"/>
      <c r="O3" s="351"/>
      <c r="S3" s="347"/>
      <c r="U3" s="347"/>
    </row>
    <row r="4" spans="1:23" s="355" customFormat="1" ht="87" customHeight="1">
      <c r="A4" s="567" t="s">
        <v>1025</v>
      </c>
      <c r="B4" s="567" t="s">
        <v>2467</v>
      </c>
      <c r="C4" s="567" t="s">
        <v>2493</v>
      </c>
      <c r="D4" s="567" t="s">
        <v>2364</v>
      </c>
      <c r="E4" s="567" t="s">
        <v>2478</v>
      </c>
      <c r="F4" s="567" t="s">
        <v>2439</v>
      </c>
      <c r="G4" s="567" t="s">
        <v>2347</v>
      </c>
      <c r="H4" s="567" t="s">
        <v>1011</v>
      </c>
      <c r="I4" s="567" t="s">
        <v>2529</v>
      </c>
      <c r="J4" s="567" t="s">
        <v>2550</v>
      </c>
      <c r="K4" s="567" t="s">
        <v>2379</v>
      </c>
      <c r="L4" s="567" t="s">
        <v>2479</v>
      </c>
      <c r="M4" s="567" t="s">
        <v>2440</v>
      </c>
      <c r="N4" s="567" t="s">
        <v>2501</v>
      </c>
      <c r="O4" s="567" t="s">
        <v>2502</v>
      </c>
      <c r="P4" s="568" t="s">
        <v>2503</v>
      </c>
      <c r="Q4" s="568" t="s">
        <v>1007</v>
      </c>
      <c r="R4" s="569" t="s">
        <v>2504</v>
      </c>
      <c r="S4" s="569" t="s">
        <v>2505</v>
      </c>
      <c r="T4" s="567" t="s">
        <v>2480</v>
      </c>
      <c r="U4" s="567" t="s">
        <v>2506</v>
      </c>
      <c r="V4" s="567" t="s">
        <v>2507</v>
      </c>
      <c r="W4" s="567" t="s">
        <v>2481</v>
      </c>
    </row>
    <row r="5" spans="1:23" s="356" customFormat="1" ht="15">
      <c r="A5" s="519">
        <f t="shared" ref="A5:A12" si="0">ROW()-4</f>
        <v>1</v>
      </c>
      <c r="B5" s="519"/>
      <c r="C5" s="519"/>
      <c r="D5" s="520"/>
      <c r="E5" s="521"/>
      <c r="F5" s="522"/>
      <c r="G5" s="523"/>
      <c r="H5" s="524"/>
      <c r="I5" s="525"/>
      <c r="J5" s="525"/>
      <c r="K5" s="523"/>
      <c r="L5" s="526"/>
      <c r="M5" s="526"/>
      <c r="N5" s="525">
        <f>Obsluga_sprzet[[#This Row],[Cena jednostkowa]]*Obsluga_sprzet[[#This Row],[Ilość sztuk]]/Obsluga_sprzet[[#This Row],[Czas wynajmu/ Okres amortyzacji (lata)]]/12+Obsluga_sprzet[[#This Row],[Koszt transportu pojemników/urządzeń
(zł/usługa/całość)]]/$W$2/12+Obsluga_sprzet[[#This Row],[Koszt serwisu (zł/szt)]]*Obsluga_sprzet[[#This Row],[Ilość sztuk]]/12+0</f>
        <v>0</v>
      </c>
      <c r="O5" s="525">
        <f>Obsluga_sprzet[[#This Row],[Koszt miesięczny CAŁKOWITY (zł/msc)]]*12</f>
        <v>0</v>
      </c>
      <c r="P5" s="527">
        <v>3</v>
      </c>
      <c r="Q5" s="527"/>
      <c r="R5" s="525">
        <f>Obsluga_sprzet[[#This Row],[Cena jednostkowa]]*Obsluga_sprzet[[#This Row],[Ilość sztuk]]</f>
        <v>0</v>
      </c>
      <c r="S5" s="525">
        <f>Obsluga_sprzet[[#This Row],[Całkowita wartość środków trwałych CAPEX 
netto (zł)]]/Obsluga_sprzet[[#This Row],[Czas wynajmu/ Okres amortyzacji (lata)]]</f>
        <v>0</v>
      </c>
      <c r="T5" s="525"/>
      <c r="U5" s="525">
        <f>Obsluga_sprzet[[#This Row],[Wartość amortyzacji na rok (zł)]]*$W$2</f>
        <v>0</v>
      </c>
      <c r="V5" s="525" t="str">
        <f>IF(Obsluga_sprzet[[#This Row],[Koszt w przeliczeniu na:]]="Całkowita masa odpadów",Obsluga_sprzet[[#This Row],[Koszt roczny CAŁKOWITY
(zł/rok)]]/Kalkulacja[[#Totals],[Szacunkowa ilość odpadu /rok]],IF(Obsluga_sprzet[[#This Row],[Koszt w przeliczeniu na:]]="Ryczałt dla Klienta","Ryczałt","INNE"))</f>
        <v>INNE</v>
      </c>
      <c r="W5" s="528"/>
    </row>
    <row r="6" spans="1:23" s="356" customFormat="1" ht="15">
      <c r="A6" s="519">
        <f t="shared" si="0"/>
        <v>2</v>
      </c>
      <c r="B6" s="519"/>
      <c r="C6" s="519"/>
      <c r="D6" s="520"/>
      <c r="E6" s="529"/>
      <c r="F6" s="530"/>
      <c r="G6" s="531"/>
      <c r="H6" s="524"/>
      <c r="I6" s="525"/>
      <c r="J6" s="525"/>
      <c r="K6" s="523"/>
      <c r="L6" s="532"/>
      <c r="M6" s="526"/>
      <c r="N6" s="533"/>
      <c r="O6" s="533">
        <f>Obsluga_sprzet[[#This Row],[Koszt miesięczny CAŁKOWITY (zł/msc)]]*12</f>
        <v>0</v>
      </c>
      <c r="P6" s="527"/>
      <c r="Q6" s="527"/>
      <c r="R6" s="533"/>
      <c r="S6" s="525"/>
      <c r="T6" s="533"/>
      <c r="U6" s="533"/>
      <c r="V6" s="525" t="str">
        <f>IF(Obsluga_sprzet[[#This Row],[Koszt w przeliczeniu na:]]="Całkowita masa odpadów",Obsluga_sprzet[[#This Row],[Koszt roczny CAŁKOWITY
(zł/rok)]]/Kalkulacja[[#Totals],[Szacunkowa ilość odpadu /rok]],IF(Obsluga_sprzet[[#This Row],[Koszt w przeliczeniu na:]]="Ryczałt dla Klienta","Ryczałt","INNE"))</f>
        <v>INNE</v>
      </c>
      <c r="W6" s="528" t="s">
        <v>1932</v>
      </c>
    </row>
    <row r="7" spans="1:23" s="356" customFormat="1" ht="15">
      <c r="A7" s="519">
        <f t="shared" si="0"/>
        <v>3</v>
      </c>
      <c r="B7" s="519"/>
      <c r="C7" s="519"/>
      <c r="D7" s="520"/>
      <c r="E7" s="529"/>
      <c r="F7" s="534"/>
      <c r="G7" s="535"/>
      <c r="H7" s="524"/>
      <c r="I7" s="525"/>
      <c r="J7" s="525"/>
      <c r="K7" s="523"/>
      <c r="L7" s="532"/>
      <c r="M7" s="526"/>
      <c r="N7" s="533"/>
      <c r="O7" s="533">
        <f>Obsluga_sprzet[[#This Row],[Koszt miesięczny CAŁKOWITY (zł/msc)]]*12</f>
        <v>0</v>
      </c>
      <c r="P7" s="527"/>
      <c r="Q7" s="527"/>
      <c r="R7" s="533"/>
      <c r="S7" s="533"/>
      <c r="T7" s="533"/>
      <c r="U7" s="533"/>
      <c r="V7" s="525" t="str">
        <f>IF(Obsluga_sprzet[[#This Row],[Koszt w przeliczeniu na:]]="Całkowita masa odpadów",Obsluga_sprzet[[#This Row],[Koszt roczny CAŁKOWITY
(zł/rok)]]/Kalkulacja[[#Totals],[Szacunkowa ilość odpadu /rok]],IF(Obsluga_sprzet[[#This Row],[Koszt w przeliczeniu na:]]="Ryczałt dla Klienta","Ryczałt","INNE"))</f>
        <v>INNE</v>
      </c>
      <c r="W7" s="528" t="s">
        <v>1932</v>
      </c>
    </row>
    <row r="8" spans="1:23" s="356" customFormat="1" ht="15">
      <c r="A8" s="519">
        <f t="shared" si="0"/>
        <v>4</v>
      </c>
      <c r="B8" s="519"/>
      <c r="C8" s="519"/>
      <c r="D8" s="520"/>
      <c r="E8" s="536"/>
      <c r="F8" s="534"/>
      <c r="G8" s="535"/>
      <c r="H8" s="537"/>
      <c r="I8" s="525"/>
      <c r="J8" s="525"/>
      <c r="K8" s="523"/>
      <c r="L8" s="526"/>
      <c r="M8" s="526"/>
      <c r="N8" s="538"/>
      <c r="O8" s="538">
        <f>Obsluga_sprzet[[#This Row],[Koszt miesięczny CAŁKOWITY (zł/msc)]]*12</f>
        <v>0</v>
      </c>
      <c r="P8" s="527"/>
      <c r="Q8" s="527"/>
      <c r="R8" s="538"/>
      <c r="S8" s="538"/>
      <c r="T8" s="533"/>
      <c r="U8" s="538"/>
      <c r="V8" s="525" t="str">
        <f>IF(Obsluga_sprzet[[#This Row],[Koszt w przeliczeniu na:]]="Całkowita masa odpadów",Obsluga_sprzet[[#This Row],[Koszt roczny CAŁKOWITY
(zł/rok)]]/Kalkulacja[[#Totals],[Szacunkowa ilość odpadu /rok]],IF(Obsluga_sprzet[[#This Row],[Koszt w przeliczeniu na:]]="Ryczałt dla Klienta","Ryczałt","INNE"))</f>
        <v>INNE</v>
      </c>
      <c r="W8" s="528" t="s">
        <v>1932</v>
      </c>
    </row>
    <row r="9" spans="1:23" s="356" customFormat="1" ht="15">
      <c r="A9" s="519">
        <f t="shared" si="0"/>
        <v>5</v>
      </c>
      <c r="B9" s="519"/>
      <c r="C9" s="519"/>
      <c r="D9" s="520"/>
      <c r="E9" s="536"/>
      <c r="F9" s="534"/>
      <c r="G9" s="535"/>
      <c r="H9" s="537"/>
      <c r="I9" s="525"/>
      <c r="J9" s="525"/>
      <c r="K9" s="523"/>
      <c r="L9" s="532"/>
      <c r="M9" s="526"/>
      <c r="N9" s="538"/>
      <c r="O9" s="538">
        <f>Obsluga_sprzet[[#This Row],[Koszt miesięczny CAŁKOWITY (zł/msc)]]*12</f>
        <v>0</v>
      </c>
      <c r="P9" s="527"/>
      <c r="Q9" s="527"/>
      <c r="R9" s="538"/>
      <c r="S9" s="538"/>
      <c r="T9" s="533"/>
      <c r="U9" s="538"/>
      <c r="V9" s="525" t="str">
        <f>IF(Obsluga_sprzet[[#This Row],[Koszt w przeliczeniu na:]]="Całkowita masa odpadów",Obsluga_sprzet[[#This Row],[Koszt roczny CAŁKOWITY
(zł/rok)]]/Kalkulacja[[#Totals],[Szacunkowa ilość odpadu /rok]],IF(Obsluga_sprzet[[#This Row],[Koszt w przeliczeniu na:]]="Ryczałt dla Klienta","Ryczałt","INNE"))</f>
        <v>INNE</v>
      </c>
      <c r="W9" s="528" t="s">
        <v>1932</v>
      </c>
    </row>
    <row r="10" spans="1:23" s="356" customFormat="1" ht="15">
      <c r="A10" s="519">
        <f t="shared" si="0"/>
        <v>6</v>
      </c>
      <c r="B10" s="519"/>
      <c r="C10" s="519"/>
      <c r="D10" s="520"/>
      <c r="E10" s="536"/>
      <c r="F10" s="534"/>
      <c r="G10" s="535"/>
      <c r="H10" s="537"/>
      <c r="I10" s="525"/>
      <c r="J10" s="525"/>
      <c r="K10" s="523"/>
      <c r="L10" s="532"/>
      <c r="M10" s="526"/>
      <c r="N10" s="538"/>
      <c r="O10" s="538">
        <f>Obsluga_sprzet[[#This Row],[Koszt miesięczny CAŁKOWITY (zł/msc)]]*12</f>
        <v>0</v>
      </c>
      <c r="P10" s="527"/>
      <c r="Q10" s="527"/>
      <c r="R10" s="538"/>
      <c r="S10" s="538"/>
      <c r="T10" s="533"/>
      <c r="U10" s="538"/>
      <c r="V10" s="525" t="str">
        <f>IF(Obsluga_sprzet[[#This Row],[Koszt w przeliczeniu na:]]="Całkowita masa odpadów",Obsluga_sprzet[[#This Row],[Koszt roczny CAŁKOWITY
(zł/rok)]]/Kalkulacja[[#Totals],[Szacunkowa ilość odpadu /rok]],IF(Obsluga_sprzet[[#This Row],[Koszt w przeliczeniu na:]]="Ryczałt dla Klienta","Ryczałt","INNE"))</f>
        <v>INNE</v>
      </c>
      <c r="W10" s="528" t="s">
        <v>1932</v>
      </c>
    </row>
    <row r="11" spans="1:23" s="356" customFormat="1" ht="15">
      <c r="A11" s="519">
        <f t="shared" si="0"/>
        <v>7</v>
      </c>
      <c r="B11" s="519"/>
      <c r="C11" s="519"/>
      <c r="D11" s="520"/>
      <c r="E11" s="536"/>
      <c r="F11" s="534"/>
      <c r="G11" s="535"/>
      <c r="H11" s="537"/>
      <c r="I11" s="525"/>
      <c r="J11" s="525"/>
      <c r="K11" s="523"/>
      <c r="L11" s="526"/>
      <c r="M11" s="526"/>
      <c r="N11" s="538"/>
      <c r="O11" s="538">
        <f>Obsluga_sprzet[[#This Row],[Koszt miesięczny CAŁKOWITY (zł/msc)]]*12</f>
        <v>0</v>
      </c>
      <c r="P11" s="527"/>
      <c r="Q11" s="527"/>
      <c r="R11" s="538"/>
      <c r="S11" s="538"/>
      <c r="T11" s="533"/>
      <c r="U11" s="538"/>
      <c r="V11" s="525" t="str">
        <f>IF(Obsluga_sprzet[[#This Row],[Koszt w przeliczeniu na:]]="Całkowita masa odpadów",Obsluga_sprzet[[#This Row],[Koszt roczny CAŁKOWITY
(zł/rok)]]/Kalkulacja[[#Totals],[Szacunkowa ilość odpadu /rok]],IF(Obsluga_sprzet[[#This Row],[Koszt w przeliczeniu na:]]="Ryczałt dla Klienta","Ryczałt","INNE"))</f>
        <v>INNE</v>
      </c>
      <c r="W11" s="528" t="s">
        <v>1932</v>
      </c>
    </row>
    <row r="12" spans="1:23" s="356" customFormat="1" ht="15">
      <c r="A12" s="519">
        <f t="shared" si="0"/>
        <v>8</v>
      </c>
      <c r="B12" s="519"/>
      <c r="C12" s="519"/>
      <c r="D12" s="520"/>
      <c r="E12" s="536"/>
      <c r="F12" s="534"/>
      <c r="G12" s="535"/>
      <c r="H12" s="537"/>
      <c r="I12" s="525"/>
      <c r="J12" s="525"/>
      <c r="K12" s="523"/>
      <c r="L12" s="532"/>
      <c r="M12" s="526"/>
      <c r="N12" s="538"/>
      <c r="O12" s="538">
        <f>Obsluga_sprzet[[#This Row],[Koszt miesięczny CAŁKOWITY (zł/msc)]]*12</f>
        <v>0</v>
      </c>
      <c r="P12" s="527"/>
      <c r="Q12" s="527"/>
      <c r="R12" s="538"/>
      <c r="S12" s="538"/>
      <c r="T12" s="533"/>
      <c r="U12" s="538"/>
      <c r="V12" s="525" t="str">
        <f>IF(Obsluga_sprzet[[#This Row],[Koszt w przeliczeniu na:]]="Całkowita masa odpadów",Obsluga_sprzet[[#This Row],[Koszt roczny CAŁKOWITY
(zł/rok)]]/Kalkulacja[[#Totals],[Szacunkowa ilość odpadu /rok]],IF(Obsluga_sprzet[[#This Row],[Koszt w przeliczeniu na:]]="Ryczałt dla Klienta","Ryczałt","INNE"))</f>
        <v>INNE</v>
      </c>
      <c r="W12" s="528" t="s">
        <v>1932</v>
      </c>
    </row>
    <row r="13" spans="1:23" s="356" customFormat="1" ht="15">
      <c r="A13" s="539">
        <f t="shared" ref="A13:A15" si="1">ROW()-4</f>
        <v>9</v>
      </c>
      <c r="B13" s="519"/>
      <c r="C13" s="519"/>
      <c r="D13" s="520"/>
      <c r="E13" s="536"/>
      <c r="F13" s="534"/>
      <c r="G13" s="535"/>
      <c r="H13" s="537"/>
      <c r="I13" s="525"/>
      <c r="J13" s="525"/>
      <c r="K13" s="523"/>
      <c r="L13" s="532"/>
      <c r="M13" s="526"/>
      <c r="N13" s="533"/>
      <c r="O13" s="533">
        <f>Obsluga_sprzet[[#This Row],[Koszt miesięczny CAŁKOWITY (zł/msc)]]*12</f>
        <v>0</v>
      </c>
      <c r="P13" s="540"/>
      <c r="Q13" s="540"/>
      <c r="R13" s="533"/>
      <c r="S13" s="525"/>
      <c r="T13" s="533"/>
      <c r="U13" s="533"/>
      <c r="V13" s="541" t="str">
        <f>IF(Obsluga_sprzet[[#This Row],[Koszt w przeliczeniu na:]]="Całkowita masa odpadów",Obsluga_sprzet[[#This Row],[Koszt roczny CAŁKOWITY
(zł/rok)]]/Kalkulacja[[#Totals],[Szacunkowa ilość odpadu /rok]],IF(Obsluga_sprzet[[#This Row],[Koszt w przeliczeniu na:]]="Ryczałt dla Klienta","Ryczałt","INNE"))</f>
        <v>INNE</v>
      </c>
      <c r="W13" s="542"/>
    </row>
    <row r="14" spans="1:23" s="356" customFormat="1" ht="15">
      <c r="A14" s="539">
        <f t="shared" si="1"/>
        <v>10</v>
      </c>
      <c r="B14" s="519"/>
      <c r="C14" s="519"/>
      <c r="D14" s="520"/>
      <c r="E14" s="536"/>
      <c r="F14" s="534"/>
      <c r="G14" s="535"/>
      <c r="H14" s="537"/>
      <c r="I14" s="525"/>
      <c r="J14" s="525"/>
      <c r="K14" s="523"/>
      <c r="L14" s="526"/>
      <c r="M14" s="526"/>
      <c r="N14" s="533"/>
      <c r="O14" s="533">
        <f>Obsluga_sprzet[[#This Row],[Koszt miesięczny CAŁKOWITY (zł/msc)]]*12</f>
        <v>0</v>
      </c>
      <c r="P14" s="540"/>
      <c r="Q14" s="540"/>
      <c r="R14" s="533"/>
      <c r="S14" s="525"/>
      <c r="T14" s="533"/>
      <c r="U14" s="533"/>
      <c r="V14" s="541" t="str">
        <f>IF(Obsluga_sprzet[[#This Row],[Koszt w przeliczeniu na:]]="Całkowita masa odpadów",Obsluga_sprzet[[#This Row],[Koszt roczny CAŁKOWITY
(zł/rok)]]/Kalkulacja[[#Totals],[Szacunkowa ilość odpadu /rok]],IF(Obsluga_sprzet[[#This Row],[Koszt w przeliczeniu na:]]="Ryczałt dla Klienta","Ryczałt","INNE"))</f>
        <v>INNE</v>
      </c>
      <c r="W14" s="542"/>
    </row>
    <row r="15" spans="1:23" s="356" customFormat="1" ht="15">
      <c r="A15" s="539">
        <f t="shared" si="1"/>
        <v>11</v>
      </c>
      <c r="B15" s="519"/>
      <c r="C15" s="519"/>
      <c r="D15" s="520"/>
      <c r="E15" s="536"/>
      <c r="F15" s="534"/>
      <c r="G15" s="535"/>
      <c r="H15" s="537"/>
      <c r="I15" s="525"/>
      <c r="J15" s="525"/>
      <c r="K15" s="523"/>
      <c r="L15" s="532"/>
      <c r="M15" s="526"/>
      <c r="N15" s="533"/>
      <c r="O15" s="533">
        <f>Obsluga_sprzet[[#This Row],[Koszt miesięczny CAŁKOWITY (zł/msc)]]*12</f>
        <v>0</v>
      </c>
      <c r="P15" s="540"/>
      <c r="Q15" s="540"/>
      <c r="R15" s="533"/>
      <c r="S15" s="525"/>
      <c r="T15" s="533"/>
      <c r="U15" s="533"/>
      <c r="V15" s="541" t="str">
        <f>IF(Obsluga_sprzet[[#This Row],[Koszt w przeliczeniu na:]]="Całkowita masa odpadów",Obsluga_sprzet[[#This Row],[Koszt roczny CAŁKOWITY
(zł/rok)]]/Kalkulacja[[#Totals],[Szacunkowa ilość odpadu /rok]],IF(Obsluga_sprzet[[#This Row],[Koszt w przeliczeniu na:]]="Ryczałt dla Klienta","Ryczałt","INNE"))</f>
        <v>INNE</v>
      </c>
      <c r="W15" s="542"/>
    </row>
    <row r="16" spans="1:23" s="356" customFormat="1" ht="15">
      <c r="A16" s="539">
        <f t="shared" ref="A16" si="2">ROW()-4</f>
        <v>12</v>
      </c>
      <c r="B16" s="519"/>
      <c r="C16" s="519"/>
      <c r="D16" s="520"/>
      <c r="E16" s="536"/>
      <c r="F16" s="534"/>
      <c r="G16" s="535"/>
      <c r="H16" s="537"/>
      <c r="I16" s="525"/>
      <c r="J16" s="525"/>
      <c r="K16" s="523"/>
      <c r="L16" s="532"/>
      <c r="M16" s="526"/>
      <c r="N16" s="533"/>
      <c r="O16" s="533">
        <f>Obsluga_sprzet[[#This Row],[Koszt miesięczny CAŁKOWITY (zł/msc)]]*12</f>
        <v>0</v>
      </c>
      <c r="P16" s="540"/>
      <c r="Q16" s="540"/>
      <c r="R16" s="533"/>
      <c r="S16" s="525"/>
      <c r="T16" s="533"/>
      <c r="U16" s="533"/>
      <c r="V16" s="541" t="str">
        <f>IF(Obsluga_sprzet[[#This Row],[Koszt w przeliczeniu na:]]="Całkowita masa odpadów",Obsluga_sprzet[[#This Row],[Koszt roczny CAŁKOWITY
(zł/rok)]]/Kalkulacja[[#Totals],[Szacunkowa ilość odpadu /rok]],IF(Obsluga_sprzet[[#This Row],[Koszt w przeliczeniu na:]]="Ryczałt dla Klienta","Ryczałt","INNE"))</f>
        <v>INNE</v>
      </c>
      <c r="W16" s="542"/>
    </row>
    <row r="17" spans="1:27" s="132" customFormat="1" ht="15.6">
      <c r="A17" s="543"/>
      <c r="B17" s="543"/>
      <c r="C17" s="543"/>
      <c r="D17" s="544"/>
      <c r="E17" s="545"/>
      <c r="F17" s="545"/>
      <c r="G17" s="545"/>
      <c r="H17" s="545"/>
      <c r="I17" s="546"/>
      <c r="J17" s="546"/>
      <c r="K17" s="546"/>
      <c r="L17" s="546"/>
      <c r="M17" s="546"/>
      <c r="N17" s="547">
        <f>SUBTOTAL(109,Obsluga_sprzet[Koszt miesięczny CAŁKOWITY (zł/msc)])</f>
        <v>0</v>
      </c>
      <c r="O17" s="547">
        <f>SUBTOTAL(109,Obsluga_sprzet[Koszt roczny CAŁKOWITY
(zł/rok)])</f>
        <v>0</v>
      </c>
      <c r="P17" s="548"/>
      <c r="Q17" s="548"/>
      <c r="R17" s="549">
        <f>SUBTOTAL(109,Obsluga_sprzet[Całkowita wartość środków trwałych CAPEX 
netto (zł)])</f>
        <v>0</v>
      </c>
      <c r="S17" s="572" t="s">
        <v>2351</v>
      </c>
      <c r="T17" s="546"/>
      <c r="U17" s="547">
        <f>SUBTOTAL(109,Obsluga_sprzet[Wartość amortyzacji na kontrakt (zł)])</f>
        <v>0</v>
      </c>
      <c r="V17" s="547">
        <f>SUBTOTAL(109,Obsluga_sprzet[Koszt roczny w przeliczeniu na tonę (zł/Mg)])</f>
        <v>0</v>
      </c>
      <c r="W17" s="550"/>
    </row>
    <row r="18" spans="1:27" s="347" customFormat="1" ht="13.2">
      <c r="A18" s="344"/>
      <c r="B18" s="344"/>
      <c r="C18" s="344"/>
      <c r="D18" s="344"/>
      <c r="E18" s="344"/>
      <c r="F18" s="344"/>
      <c r="G18" s="344"/>
      <c r="H18" s="344"/>
      <c r="I18" s="344"/>
      <c r="J18" s="344"/>
      <c r="K18" s="344"/>
      <c r="L18" s="360"/>
      <c r="M18" s="344"/>
      <c r="N18" s="344"/>
      <c r="O18" s="344"/>
      <c r="P18" s="344"/>
      <c r="Q18" s="344"/>
      <c r="R18" s="344"/>
      <c r="S18" s="344"/>
      <c r="T18" s="344"/>
      <c r="U18" s="344"/>
      <c r="V18" s="344"/>
      <c r="W18" s="132"/>
    </row>
    <row r="19" spans="1:27" s="347" customFormat="1" ht="17.399999999999999">
      <c r="A19" s="344"/>
      <c r="B19" s="344"/>
      <c r="C19" s="683" t="s">
        <v>2358</v>
      </c>
      <c r="D19" s="683"/>
      <c r="E19" s="683"/>
      <c r="F19" s="683"/>
      <c r="G19" s="683" t="s">
        <v>2359</v>
      </c>
      <c r="H19" s="683"/>
      <c r="I19" s="683"/>
      <c r="J19" s="683"/>
      <c r="K19" s="344"/>
      <c r="L19" s="360"/>
      <c r="M19" s="344"/>
      <c r="N19" s="344"/>
      <c r="O19" s="344"/>
      <c r="P19" s="344"/>
      <c r="Q19" s="344"/>
      <c r="R19" s="344"/>
      <c r="S19" s="344"/>
      <c r="T19" s="344"/>
      <c r="U19" s="344"/>
      <c r="V19" s="344"/>
    </row>
    <row r="20" spans="1:27" s="132" customFormat="1" ht="52.2">
      <c r="A20" s="559" t="s">
        <v>1025</v>
      </c>
      <c r="B20" s="559" t="s">
        <v>126</v>
      </c>
      <c r="C20" s="559" t="s">
        <v>2153</v>
      </c>
      <c r="D20" s="559" t="s">
        <v>2179</v>
      </c>
      <c r="E20" s="559" t="s">
        <v>2170</v>
      </c>
      <c r="F20" s="559" t="s">
        <v>2171</v>
      </c>
      <c r="G20" s="559" t="s">
        <v>2154</v>
      </c>
      <c r="H20" s="559" t="s">
        <v>1014</v>
      </c>
      <c r="I20" s="559" t="s">
        <v>2172</v>
      </c>
      <c r="J20" s="559" t="s">
        <v>2173</v>
      </c>
      <c r="K20" s="361"/>
      <c r="L20" s="361"/>
      <c r="M20" s="362"/>
      <c r="N20" s="363"/>
      <c r="O20" s="364"/>
      <c r="P20" s="361"/>
      <c r="Q20" s="361"/>
      <c r="S20" s="365"/>
      <c r="T20" s="365"/>
      <c r="U20" s="366"/>
      <c r="V20" s="361"/>
      <c r="W20" s="361"/>
      <c r="X20" s="361"/>
    </row>
    <row r="21" spans="1:27" s="372" customFormat="1" ht="15">
      <c r="A21" s="551">
        <v>1</v>
      </c>
      <c r="B21" s="552" t="s">
        <v>2482</v>
      </c>
      <c r="C21" s="553">
        <f>SUMIFS(Obsluga_sprzet[Koszt miesięczny CAŁKOWITY (zł/msc)],Obsluga_sprzet[Rodzaj naliczania],B21,Obsluga_sprzet[Koszt w przeliczeniu na:],"Ryczałt dla Klienta")</f>
        <v>0</v>
      </c>
      <c r="D21" s="554">
        <v>0.1</v>
      </c>
      <c r="E21" s="555">
        <f>Podsumowanie_S[[#This Row],[Suma kosztów
'[zł/m-c']]]*(1+Podsumowanie_S[[#This Row],[Narzut
'[%']]])</f>
        <v>0</v>
      </c>
      <c r="F21" s="556">
        <f>Podsumowanie_S[[#This Row],[Obrót 
'[zł/m-c']]]-Podsumowanie_S[[#This Row],[Suma kosztów
'[zł/m-c']]]</f>
        <v>0</v>
      </c>
      <c r="G21" s="555">
        <f>Podsumowanie_S[[#This Row],[Suma kosztów
'[zł/m-c']]]*12</f>
        <v>0</v>
      </c>
      <c r="H21" s="557" t="str">
        <f>IFERROR(Podsumowanie_S[[#This Row],[Zysk
 '[zł/rok']]]/Podsumowanie_S[[#This Row],[Obrót 
'[zł/rok']]],"")</f>
        <v/>
      </c>
      <c r="I21" s="555">
        <f>Podsumowanie_S[[#This Row],[Obrót 
'[zł/m-c']]]*12</f>
        <v>0</v>
      </c>
      <c r="J21" s="555">
        <f>Podsumowanie_S[[#This Row],[Zysk 
'[zł/m-c']]]*12</f>
        <v>0</v>
      </c>
      <c r="K21" s="367"/>
      <c r="L21" s="367"/>
      <c r="M21" s="368"/>
      <c r="N21" s="369"/>
      <c r="O21" s="369"/>
      <c r="P21" s="367"/>
      <c r="Q21" s="367"/>
      <c r="R21" s="367"/>
      <c r="S21" s="370"/>
      <c r="T21" s="370"/>
      <c r="U21" s="367"/>
      <c r="V21" s="371"/>
      <c r="W21" s="367"/>
    </row>
    <row r="22" spans="1:27" s="376" customFormat="1" ht="15">
      <c r="A22" s="551">
        <v>2</v>
      </c>
      <c r="B22" s="552" t="s">
        <v>2494</v>
      </c>
      <c r="C22" s="553">
        <f>SUMIFS(Obsluga_sprzet[Koszt miesięczny CAŁKOWITY (zł/msc)],Obsluga_sprzet[Rodzaj naliczania],B22,Obsluga_sprzet[Koszt w przeliczeniu na:],"Ryczałt dla Klienta")</f>
        <v>0</v>
      </c>
      <c r="D22" s="554">
        <v>0.1</v>
      </c>
      <c r="E22" s="555">
        <f>Podsumowanie_S[[#This Row],[Suma kosztów
'[zł/m-c']]]*(1+Podsumowanie_S[[#This Row],[Narzut
'[%']]])</f>
        <v>0</v>
      </c>
      <c r="F22" s="556">
        <f>Podsumowanie_S[[#This Row],[Obrót 
'[zł/m-c']]]-Podsumowanie_S[[#This Row],[Suma kosztów
'[zł/m-c']]]</f>
        <v>0</v>
      </c>
      <c r="G22" s="555">
        <f>Podsumowanie_S[[#This Row],[Suma kosztów
'[zł/m-c']]]*12</f>
        <v>0</v>
      </c>
      <c r="H22" s="557" t="str">
        <f>IFERROR(Podsumowanie_S[[#This Row],[Zysk
 '[zł/rok']]]/Podsumowanie_S[[#This Row],[Obrót 
'[zł/rok']]],"")</f>
        <v/>
      </c>
      <c r="I22" s="555">
        <f>Podsumowanie_S[[#This Row],[Obrót 
'[zł/m-c']]]*12</f>
        <v>0</v>
      </c>
      <c r="J22" s="555">
        <f>Podsumowanie_S[[#This Row],[Zysk 
'[zł/m-c']]]*12</f>
        <v>0</v>
      </c>
      <c r="K22" s="373"/>
      <c r="L22" s="373"/>
      <c r="M22" s="368"/>
      <c r="N22" s="369"/>
      <c r="O22" s="369"/>
      <c r="P22" s="373"/>
      <c r="Q22" s="373"/>
      <c r="R22" s="373"/>
      <c r="S22" s="374"/>
      <c r="T22" s="374"/>
      <c r="U22" s="373"/>
      <c r="V22" s="375"/>
      <c r="W22" s="373"/>
    </row>
    <row r="23" spans="1:27" s="376" customFormat="1" ht="15">
      <c r="A23" s="551">
        <v>3</v>
      </c>
      <c r="B23" s="552" t="s">
        <v>2206</v>
      </c>
      <c r="C23" s="553">
        <f>SUMIFS(Obsluga_sprzet[Koszt miesięczny CAŁKOWITY (zł/msc)],Obsluga_sprzet[Rodzaj naliczania],B23,Obsluga_sprzet[Koszt w przeliczeniu na:],"Ryczałt dla Klienta")</f>
        <v>0</v>
      </c>
      <c r="D23" s="554">
        <v>0.1</v>
      </c>
      <c r="E23" s="555">
        <f>Podsumowanie_S[[#This Row],[Suma kosztów
'[zł/m-c']]]*(1+Podsumowanie_S[[#This Row],[Narzut
'[%']]])</f>
        <v>0</v>
      </c>
      <c r="F23" s="556">
        <f>Podsumowanie_S[[#This Row],[Obrót 
'[zł/m-c']]]-Podsumowanie_S[[#This Row],[Suma kosztów
'[zł/m-c']]]</f>
        <v>0</v>
      </c>
      <c r="G23" s="555">
        <f>Podsumowanie_S[[#This Row],[Suma kosztów
'[zł/m-c']]]*12</f>
        <v>0</v>
      </c>
      <c r="H23" s="557" t="str">
        <f>IFERROR(Podsumowanie_S[[#This Row],[Zysk
 '[zł/rok']]]/Podsumowanie_S[[#This Row],[Obrót 
'[zł/rok']]],"")</f>
        <v/>
      </c>
      <c r="I23" s="555">
        <f>Podsumowanie_S[[#This Row],[Obrót 
'[zł/m-c']]]*12</f>
        <v>0</v>
      </c>
      <c r="J23" s="555">
        <f>Podsumowanie_S[[#This Row],[Zysk 
'[zł/m-c']]]*12</f>
        <v>0</v>
      </c>
      <c r="K23" s="373"/>
      <c r="L23" s="373"/>
      <c r="M23" s="373"/>
      <c r="N23" s="375"/>
      <c r="O23" s="375"/>
      <c r="P23" s="373"/>
      <c r="Q23" s="373"/>
      <c r="R23" s="373"/>
      <c r="S23" s="374"/>
      <c r="T23" s="374"/>
      <c r="U23" s="373"/>
      <c r="V23" s="375"/>
      <c r="W23" s="373"/>
      <c r="Y23" s="373"/>
    </row>
    <row r="24" spans="1:27" s="132" customFormat="1" ht="15.6">
      <c r="A24" s="545"/>
      <c r="B24" s="547" t="s">
        <v>2174</v>
      </c>
      <c r="C24" s="547">
        <f>SUBTOTAL(109,Podsumowanie_S[Suma kosztów
'[zł/m-c']])</f>
        <v>0</v>
      </c>
      <c r="D24" s="558" t="e">
        <f>Podsumowanie_S[[#Totals],[Zysk 
'[zł/m-c']]]/Podsumowanie_S[[#Totals],[Obrót 
'[zł/m-c']]]</f>
        <v>#DIV/0!</v>
      </c>
      <c r="E24" s="547">
        <f>SUBTOTAL(109,Podsumowanie_S[Obrót 
'[zł/m-c']])</f>
        <v>0</v>
      </c>
      <c r="F24" s="547">
        <f>SUBTOTAL(109,Podsumowanie_S[Zysk 
'[zł/m-c']])</f>
        <v>0</v>
      </c>
      <c r="G24" s="547">
        <f>SUBTOTAL(109,Podsumowanie_S[Suma kosztów
'[zł/rok']])</f>
        <v>0</v>
      </c>
      <c r="H24" s="558" t="e">
        <f>Podsumowanie_S[[#Totals],[Zysk
 '[zł/rok']]]/Podsumowanie_S[[#Totals],[Obrót 
'[zł/rok']]]</f>
        <v>#DIV/0!</v>
      </c>
      <c r="I24" s="547">
        <f>SUBTOTAL(109,Podsumowanie_S[Obrót 
'[zł/rok']])</f>
        <v>0</v>
      </c>
      <c r="J24" s="547">
        <f>SUBTOTAL(109,Podsumowanie_S[Zysk
 '[zł/rok']])</f>
        <v>0</v>
      </c>
      <c r="K24" s="361"/>
      <c r="L24" s="361"/>
      <c r="M24" s="368"/>
      <c r="N24" s="369"/>
      <c r="O24" s="375"/>
      <c r="P24" s="361"/>
      <c r="Q24" s="361"/>
      <c r="R24" s="361"/>
      <c r="S24" s="365"/>
      <c r="T24" s="365"/>
      <c r="U24" s="361"/>
      <c r="V24" s="364"/>
      <c r="W24" s="361"/>
      <c r="X24" s="361"/>
      <c r="Y24" s="361"/>
    </row>
    <row r="25" spans="1:27" s="347" customFormat="1" ht="13.2">
      <c r="A25" s="344"/>
      <c r="B25" s="344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77"/>
      <c r="N25" s="360"/>
      <c r="O25" s="375"/>
      <c r="P25" s="344"/>
      <c r="Q25" s="344"/>
      <c r="R25" s="344"/>
      <c r="S25" s="378"/>
      <c r="T25" s="378"/>
      <c r="U25" s="344"/>
      <c r="V25" s="360"/>
      <c r="W25" s="344"/>
      <c r="X25" s="344"/>
      <c r="Y25" s="344"/>
    </row>
    <row r="26" spans="1:27" s="347" customFormat="1" ht="13.2">
      <c r="A26" s="344"/>
      <c r="B26" s="344"/>
      <c r="C26" s="344"/>
      <c r="D26" s="344"/>
      <c r="E26" s="344"/>
      <c r="F26" s="344"/>
      <c r="G26" s="344"/>
      <c r="H26" s="344"/>
      <c r="I26" s="344"/>
      <c r="J26" s="344"/>
      <c r="K26" s="344"/>
      <c r="L26" s="344"/>
      <c r="M26" s="377"/>
      <c r="N26" s="360"/>
      <c r="O26" s="375"/>
      <c r="P26" s="344"/>
      <c r="Q26" s="344"/>
      <c r="R26" s="344"/>
      <c r="S26" s="378"/>
      <c r="T26" s="378"/>
      <c r="U26" s="344"/>
      <c r="V26" s="360"/>
      <c r="W26" s="344"/>
      <c r="X26" s="344"/>
      <c r="Y26" s="344"/>
    </row>
    <row r="27" spans="1:27" s="347" customFormat="1" ht="13.2">
      <c r="A27" s="344"/>
      <c r="B27" s="344"/>
      <c r="C27" s="344"/>
      <c r="D27" s="344"/>
      <c r="E27" s="344"/>
      <c r="F27" s="344"/>
      <c r="G27" s="344"/>
      <c r="H27" s="344"/>
      <c r="I27" s="344"/>
      <c r="J27" s="344"/>
      <c r="K27" s="344"/>
      <c r="L27" s="344"/>
      <c r="M27" s="377"/>
      <c r="N27" s="360"/>
      <c r="O27" s="375"/>
      <c r="P27" s="344"/>
      <c r="Q27" s="344"/>
      <c r="R27" s="344"/>
      <c r="S27" s="378"/>
      <c r="T27" s="378"/>
      <c r="U27" s="344"/>
      <c r="V27" s="360"/>
      <c r="W27" s="344"/>
      <c r="X27" s="344"/>
      <c r="Y27" s="344"/>
    </row>
    <row r="28" spans="1:27" s="347" customFormat="1" ht="17.399999999999999">
      <c r="A28" s="684" t="s">
        <v>2495</v>
      </c>
      <c r="B28" s="684"/>
      <c r="C28" s="684"/>
      <c r="D28" s="684"/>
      <c r="E28" s="684"/>
      <c r="F28" s="344"/>
      <c r="G28" s="377"/>
      <c r="H28" s="344"/>
      <c r="I28" s="344"/>
      <c r="J28" s="344"/>
      <c r="K28" s="344"/>
      <c r="L28" s="360"/>
      <c r="M28" s="344"/>
      <c r="N28" s="344"/>
      <c r="O28" s="344"/>
      <c r="P28" s="344"/>
      <c r="Q28" s="344"/>
      <c r="R28" s="344"/>
      <c r="S28" s="378"/>
      <c r="T28" s="378"/>
      <c r="U28" s="344"/>
      <c r="V28" s="344"/>
      <c r="X28" s="344"/>
      <c r="Y28" s="344"/>
    </row>
    <row r="29" spans="1:27" s="132" customFormat="1" ht="52.2">
      <c r="A29" s="566" t="s">
        <v>1025</v>
      </c>
      <c r="B29" s="566" t="s">
        <v>2169</v>
      </c>
      <c r="C29" s="566" t="s">
        <v>2439</v>
      </c>
      <c r="D29" s="566" t="s">
        <v>2477</v>
      </c>
      <c r="E29" s="566" t="s">
        <v>2476</v>
      </c>
      <c r="F29" s="361"/>
      <c r="G29" s="361"/>
      <c r="H29" s="361"/>
      <c r="M29" s="344"/>
      <c r="N29" s="344"/>
      <c r="O29" s="344"/>
      <c r="P29" s="344"/>
      <c r="Q29" s="344"/>
      <c r="U29" s="365"/>
      <c r="V29" s="365"/>
      <c r="W29" s="361"/>
      <c r="Y29" s="361"/>
      <c r="Z29" s="361"/>
    </row>
    <row r="30" spans="1:27" s="132" customFormat="1" ht="15">
      <c r="A30" s="560"/>
      <c r="B30" s="561"/>
      <c r="C30" s="560"/>
      <c r="D30" s="562"/>
      <c r="E30" s="562"/>
      <c r="F30" s="379"/>
      <c r="I30" s="361"/>
      <c r="J30" s="361"/>
      <c r="K30" s="361"/>
      <c r="L30" s="361"/>
      <c r="M30" s="344"/>
      <c r="N30" s="344"/>
      <c r="O30" s="380"/>
      <c r="P30" s="344"/>
      <c r="Q30" s="380"/>
      <c r="R30" s="361"/>
      <c r="U30" s="365"/>
      <c r="V30" s="365"/>
      <c r="Y30" s="361"/>
      <c r="Z30" s="361"/>
      <c r="AA30" s="361"/>
    </row>
    <row r="31" spans="1:27" s="347" customFormat="1" ht="15.6">
      <c r="A31" s="563" t="s">
        <v>2549</v>
      </c>
      <c r="B31" s="563"/>
      <c r="C31" s="563"/>
      <c r="D31" s="564"/>
      <c r="E31" s="565">
        <f>SUBTOTAL(109,Ryczałty_T[Ryczałt całkowity '[zł/msc']])</f>
        <v>0</v>
      </c>
      <c r="F31" s="344"/>
      <c r="G31" s="344"/>
      <c r="H31" s="344"/>
      <c r="I31" s="344"/>
      <c r="J31" s="344"/>
      <c r="K31" s="344"/>
      <c r="L31" s="360"/>
      <c r="M31" s="344"/>
      <c r="N31" s="344"/>
      <c r="O31" s="344"/>
      <c r="P31" s="344"/>
      <c r="Q31" s="344"/>
      <c r="R31" s="344"/>
      <c r="S31" s="344"/>
      <c r="T31" s="344"/>
      <c r="U31" s="344"/>
      <c r="V31" s="344"/>
    </row>
    <row r="32" spans="1:27" s="347" customFormat="1">
      <c r="A32" s="344"/>
      <c r="B32" s="344"/>
      <c r="C32" s="344"/>
      <c r="D32" s="344"/>
      <c r="E32" s="344"/>
      <c r="F32" s="344"/>
      <c r="G32" s="344"/>
      <c r="H32" s="344"/>
      <c r="I32" s="344"/>
      <c r="J32" s="344"/>
      <c r="K32" s="344"/>
      <c r="L32" s="360"/>
      <c r="M32" s="344"/>
      <c r="N32" s="344"/>
      <c r="O32" s="344"/>
      <c r="P32" s="344"/>
      <c r="Q32" s="344"/>
      <c r="R32" s="344"/>
      <c r="S32" s="344"/>
      <c r="T32" s="344"/>
      <c r="U32" s="344"/>
      <c r="V32" s="344"/>
    </row>
    <row r="33" spans="1:22" s="347" customFormat="1">
      <c r="A33" s="344"/>
      <c r="B33" s="344"/>
      <c r="C33" s="344"/>
      <c r="D33" s="344"/>
      <c r="E33" s="344"/>
      <c r="F33" s="344"/>
      <c r="G33" s="344"/>
      <c r="H33" s="344"/>
      <c r="I33" s="344"/>
      <c r="J33" s="344"/>
      <c r="K33" s="344"/>
      <c r="L33" s="360"/>
      <c r="M33" s="344"/>
      <c r="N33" s="344"/>
      <c r="O33" s="344"/>
      <c r="P33" s="344"/>
      <c r="Q33" s="344"/>
      <c r="R33" s="344"/>
      <c r="S33" s="344"/>
      <c r="T33" s="344"/>
      <c r="U33" s="344"/>
      <c r="V33" s="344"/>
    </row>
    <row r="34" spans="1:22" s="347" customFormat="1">
      <c r="A34" s="344"/>
      <c r="B34" s="344"/>
      <c r="C34" s="344"/>
      <c r="D34" s="344"/>
      <c r="E34" s="344"/>
      <c r="F34" s="344"/>
      <c r="G34" s="344"/>
      <c r="H34" s="344"/>
      <c r="I34" s="344"/>
      <c r="J34" s="344"/>
      <c r="K34" s="344"/>
      <c r="L34" s="360"/>
      <c r="M34" s="344"/>
      <c r="N34" s="344"/>
      <c r="O34" s="344"/>
      <c r="P34" s="344"/>
      <c r="Q34" s="344"/>
      <c r="R34" s="344"/>
      <c r="S34" s="344"/>
      <c r="T34" s="344"/>
      <c r="U34" s="344"/>
      <c r="V34" s="344"/>
    </row>
    <row r="35" spans="1:22" s="347" customFormat="1">
      <c r="A35" s="344"/>
      <c r="B35" s="344"/>
      <c r="C35" s="344"/>
      <c r="D35" s="344"/>
      <c r="E35" s="344"/>
      <c r="F35" s="344"/>
      <c r="G35" s="344"/>
      <c r="H35" s="344"/>
      <c r="I35" s="344"/>
      <c r="J35" s="344"/>
      <c r="K35" s="344"/>
      <c r="L35" s="360"/>
      <c r="M35" s="344"/>
      <c r="N35" s="344"/>
      <c r="O35" s="344"/>
      <c r="P35" s="344"/>
      <c r="Q35" s="344"/>
      <c r="R35" s="344"/>
      <c r="S35" s="344"/>
      <c r="T35" s="344"/>
      <c r="U35" s="344"/>
      <c r="V35" s="344"/>
    </row>
    <row r="36" spans="1:22" s="347" customFormat="1">
      <c r="A36" s="344"/>
      <c r="B36" s="344"/>
      <c r="C36" s="344"/>
      <c r="D36" s="344"/>
      <c r="E36" s="344"/>
      <c r="F36" s="344"/>
      <c r="G36" s="344"/>
      <c r="H36" s="344"/>
      <c r="I36" s="344"/>
      <c r="J36" s="344"/>
      <c r="K36" s="344"/>
      <c r="L36" s="360"/>
      <c r="M36" s="344"/>
      <c r="N36" s="344"/>
      <c r="O36" s="344"/>
      <c r="P36" s="344"/>
      <c r="Q36" s="344"/>
      <c r="R36" s="344"/>
      <c r="S36" s="344"/>
      <c r="T36" s="344"/>
      <c r="U36" s="344"/>
      <c r="V36" s="344"/>
    </row>
    <row r="37" spans="1:22" s="347" customFormat="1">
      <c r="A37" s="344"/>
      <c r="B37" s="344"/>
      <c r="C37" s="344"/>
      <c r="D37" s="344"/>
      <c r="E37" s="344"/>
      <c r="F37" s="344"/>
      <c r="G37" s="344"/>
      <c r="H37" s="344"/>
      <c r="I37" s="344"/>
      <c r="J37" s="344"/>
      <c r="K37" s="344"/>
      <c r="L37" s="360"/>
      <c r="M37" s="344"/>
      <c r="N37" s="344"/>
      <c r="O37" s="344"/>
      <c r="P37" s="344"/>
      <c r="Q37" s="344"/>
      <c r="R37" s="344"/>
      <c r="S37" s="344"/>
      <c r="T37" s="344"/>
      <c r="U37" s="344"/>
      <c r="V37" s="344"/>
    </row>
    <row r="38" spans="1:22" s="347" customFormat="1">
      <c r="A38" s="344"/>
      <c r="B38" s="344"/>
      <c r="C38" s="344"/>
      <c r="D38" s="344"/>
      <c r="E38" s="344"/>
      <c r="F38" s="344"/>
      <c r="G38" s="344"/>
      <c r="H38" s="344"/>
      <c r="I38" s="344"/>
      <c r="J38" s="344"/>
      <c r="K38" s="344"/>
      <c r="L38" s="360"/>
      <c r="M38" s="344"/>
      <c r="N38" s="344"/>
      <c r="O38" s="344"/>
      <c r="P38" s="344"/>
      <c r="Q38" s="344"/>
      <c r="R38" s="344"/>
      <c r="S38" s="344"/>
      <c r="T38" s="344"/>
      <c r="U38" s="344"/>
      <c r="V38" s="344"/>
    </row>
    <row r="39" spans="1:22" s="347" customFormat="1">
      <c r="A39" s="344"/>
      <c r="B39" s="344"/>
      <c r="C39" s="344"/>
      <c r="D39" s="344"/>
      <c r="E39" s="344"/>
      <c r="F39" s="344"/>
      <c r="G39" s="344"/>
      <c r="H39" s="344"/>
      <c r="I39" s="344"/>
      <c r="J39" s="344"/>
      <c r="K39" s="344"/>
      <c r="L39" s="360"/>
      <c r="M39" s="344"/>
      <c r="N39" s="344"/>
      <c r="O39" s="344"/>
      <c r="P39" s="344"/>
      <c r="Q39" s="344"/>
      <c r="R39" s="344"/>
      <c r="S39" s="344"/>
      <c r="T39" s="344"/>
      <c r="U39" s="344"/>
      <c r="V39" s="344"/>
    </row>
    <row r="40" spans="1:22" s="347" customFormat="1">
      <c r="A40" s="344"/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60"/>
      <c r="M40" s="344"/>
      <c r="N40" s="344"/>
      <c r="O40" s="344"/>
      <c r="P40" s="344"/>
      <c r="Q40" s="344"/>
      <c r="R40" s="344"/>
      <c r="S40" s="344"/>
      <c r="T40" s="344"/>
      <c r="U40" s="344"/>
      <c r="V40" s="344"/>
    </row>
    <row r="41" spans="1:22" s="347" customFormat="1">
      <c r="A41" s="344"/>
      <c r="B41" s="344"/>
      <c r="C41" s="344"/>
      <c r="D41" s="344"/>
      <c r="E41" s="344"/>
      <c r="F41" s="344"/>
      <c r="G41" s="344"/>
      <c r="H41" s="344"/>
      <c r="I41" s="344"/>
      <c r="J41" s="344"/>
      <c r="K41" s="344"/>
      <c r="L41" s="360"/>
      <c r="M41" s="344"/>
      <c r="N41" s="344"/>
      <c r="O41" s="344"/>
      <c r="P41" s="344"/>
      <c r="Q41" s="344"/>
      <c r="R41" s="344"/>
      <c r="S41" s="344"/>
      <c r="T41" s="344"/>
      <c r="U41" s="344"/>
      <c r="V41" s="344"/>
    </row>
    <row r="42" spans="1:22" s="347" customFormat="1">
      <c r="A42" s="344"/>
      <c r="B42" s="344"/>
      <c r="C42" s="344"/>
      <c r="D42" s="344"/>
      <c r="E42" s="344"/>
      <c r="F42" s="344"/>
      <c r="G42" s="344"/>
      <c r="H42" s="344"/>
      <c r="I42" s="344"/>
      <c r="J42" s="344"/>
      <c r="K42" s="344"/>
      <c r="L42" s="360"/>
      <c r="M42" s="344"/>
      <c r="N42" s="344"/>
      <c r="O42" s="344"/>
      <c r="P42" s="344"/>
      <c r="Q42" s="344"/>
      <c r="R42" s="344"/>
      <c r="S42" s="344"/>
      <c r="T42" s="344"/>
      <c r="U42" s="344"/>
      <c r="V42" s="344"/>
    </row>
    <row r="43" spans="1:22" s="347" customFormat="1">
      <c r="A43" s="344"/>
      <c r="B43" s="344"/>
      <c r="C43" s="344"/>
      <c r="D43" s="344"/>
      <c r="E43" s="344"/>
      <c r="F43" s="344"/>
      <c r="G43" s="344"/>
      <c r="H43" s="344"/>
      <c r="I43" s="344"/>
      <c r="J43" s="344"/>
      <c r="K43" s="344"/>
      <c r="L43" s="360"/>
      <c r="M43" s="344"/>
      <c r="N43" s="344"/>
      <c r="O43" s="344"/>
      <c r="P43" s="344"/>
      <c r="Q43" s="344"/>
      <c r="R43" s="344"/>
      <c r="S43" s="344"/>
      <c r="T43" s="344"/>
      <c r="U43" s="344"/>
      <c r="V43" s="344"/>
    </row>
    <row r="44" spans="1:22" s="347" customFormat="1">
      <c r="A44" s="344"/>
      <c r="B44" s="344"/>
      <c r="C44" s="344"/>
      <c r="D44" s="344"/>
      <c r="E44" s="344"/>
      <c r="F44" s="344"/>
      <c r="G44" s="344"/>
      <c r="H44" s="344"/>
      <c r="I44" s="344"/>
      <c r="J44" s="344"/>
      <c r="K44" s="344"/>
      <c r="L44" s="360"/>
      <c r="M44" s="344"/>
      <c r="N44" s="344"/>
      <c r="O44" s="344"/>
      <c r="P44" s="344"/>
      <c r="Q44" s="344"/>
      <c r="R44" s="344"/>
      <c r="S44" s="344"/>
      <c r="T44" s="344"/>
      <c r="U44" s="344"/>
      <c r="V44" s="344"/>
    </row>
    <row r="45" spans="1:22" s="347" customFormat="1">
      <c r="A45" s="344"/>
      <c r="B45" s="344"/>
      <c r="C45" s="344"/>
      <c r="D45" s="344"/>
      <c r="E45" s="344"/>
      <c r="F45" s="344"/>
      <c r="G45" s="344"/>
      <c r="H45" s="344"/>
      <c r="I45" s="344"/>
      <c r="J45" s="344"/>
      <c r="K45" s="344"/>
      <c r="L45" s="360"/>
      <c r="M45" s="344"/>
      <c r="N45" s="344"/>
      <c r="O45" s="344"/>
      <c r="P45" s="344"/>
      <c r="Q45" s="344"/>
      <c r="R45" s="344"/>
      <c r="S45" s="344"/>
      <c r="T45" s="344"/>
      <c r="U45" s="344"/>
      <c r="V45" s="344"/>
    </row>
    <row r="46" spans="1:22" s="347" customFormat="1">
      <c r="A46" s="344"/>
      <c r="B46" s="344"/>
      <c r="C46" s="344"/>
      <c r="D46" s="344"/>
      <c r="E46" s="344"/>
      <c r="F46" s="344"/>
      <c r="G46" s="344"/>
      <c r="H46" s="344"/>
      <c r="I46" s="344"/>
      <c r="J46" s="344"/>
      <c r="K46" s="344"/>
      <c r="L46" s="360"/>
      <c r="M46" s="344"/>
      <c r="N46" s="344"/>
      <c r="O46" s="344"/>
      <c r="P46" s="344"/>
      <c r="Q46" s="344"/>
      <c r="R46" s="344"/>
      <c r="S46" s="344"/>
      <c r="T46" s="344"/>
      <c r="U46" s="344"/>
      <c r="V46" s="344"/>
    </row>
    <row r="47" spans="1:22" s="347" customFormat="1">
      <c r="A47" s="344"/>
      <c r="B47" s="344"/>
      <c r="C47" s="344"/>
      <c r="D47" s="344"/>
      <c r="E47" s="344"/>
      <c r="F47" s="344"/>
      <c r="G47" s="344"/>
      <c r="H47" s="344"/>
      <c r="I47" s="344"/>
      <c r="J47" s="344"/>
      <c r="K47" s="344"/>
      <c r="L47" s="360"/>
      <c r="M47" s="344"/>
      <c r="N47" s="344"/>
      <c r="O47" s="344"/>
      <c r="P47" s="344"/>
      <c r="Q47" s="344"/>
      <c r="R47" s="344"/>
      <c r="S47" s="344"/>
      <c r="T47" s="344"/>
      <c r="U47" s="344"/>
      <c r="V47" s="344"/>
    </row>
    <row r="48" spans="1:22" s="347" customFormat="1">
      <c r="A48" s="344"/>
      <c r="B48" s="344"/>
      <c r="C48" s="344"/>
      <c r="D48" s="344"/>
      <c r="E48" s="344"/>
      <c r="F48" s="344"/>
      <c r="G48" s="344"/>
      <c r="H48" s="344"/>
      <c r="I48" s="344"/>
      <c r="J48" s="344"/>
      <c r="K48" s="344"/>
      <c r="L48" s="360"/>
      <c r="M48" s="344"/>
      <c r="N48" s="344"/>
      <c r="O48" s="344"/>
      <c r="P48" s="344"/>
      <c r="Q48" s="344"/>
      <c r="R48" s="344"/>
      <c r="S48" s="344"/>
      <c r="T48" s="344"/>
      <c r="U48" s="344"/>
      <c r="V48" s="344"/>
    </row>
    <row r="49" spans="1:22" s="347" customFormat="1">
      <c r="A49" s="344"/>
      <c r="B49" s="344"/>
      <c r="C49" s="344"/>
      <c r="D49" s="344"/>
      <c r="E49" s="344"/>
      <c r="F49" s="344"/>
      <c r="G49" s="344"/>
      <c r="H49" s="344"/>
      <c r="I49" s="344"/>
      <c r="J49" s="344"/>
      <c r="K49" s="344"/>
      <c r="L49" s="360"/>
      <c r="M49" s="344"/>
      <c r="N49" s="344"/>
      <c r="O49" s="344"/>
      <c r="P49" s="344"/>
      <c r="Q49" s="344"/>
      <c r="R49" s="344"/>
      <c r="S49" s="344"/>
      <c r="T49" s="344"/>
      <c r="U49" s="344"/>
      <c r="V49" s="344"/>
    </row>
    <row r="50" spans="1:22" s="347" customFormat="1">
      <c r="A50" s="344"/>
      <c r="B50" s="344"/>
      <c r="C50" s="344"/>
      <c r="D50" s="344"/>
      <c r="E50" s="344"/>
      <c r="F50" s="344"/>
      <c r="G50" s="344"/>
      <c r="H50" s="344"/>
      <c r="I50" s="344"/>
      <c r="J50" s="344"/>
      <c r="K50" s="344"/>
      <c r="L50" s="360"/>
      <c r="M50" s="344"/>
      <c r="N50" s="344"/>
      <c r="O50" s="344"/>
      <c r="P50" s="344"/>
      <c r="Q50" s="344"/>
      <c r="R50" s="344"/>
      <c r="S50" s="344"/>
      <c r="T50" s="344"/>
      <c r="U50" s="344"/>
      <c r="V50" s="344"/>
    </row>
    <row r="51" spans="1:22" s="347" customFormat="1">
      <c r="A51" s="344"/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60"/>
      <c r="M51" s="344"/>
      <c r="N51" s="344"/>
      <c r="O51" s="344"/>
      <c r="P51" s="344"/>
      <c r="Q51" s="344"/>
      <c r="R51" s="344"/>
      <c r="S51" s="344"/>
      <c r="T51" s="344"/>
      <c r="U51" s="344"/>
      <c r="V51" s="344"/>
    </row>
    <row r="52" spans="1:22" s="347" customFormat="1">
      <c r="A52" s="344"/>
      <c r="B52" s="344"/>
      <c r="C52" s="344"/>
      <c r="D52" s="344"/>
      <c r="E52" s="344"/>
      <c r="F52" s="344"/>
      <c r="G52" s="344"/>
      <c r="H52" s="344"/>
      <c r="I52" s="344"/>
      <c r="J52" s="344"/>
      <c r="K52" s="344"/>
      <c r="L52" s="360"/>
      <c r="M52" s="344"/>
      <c r="N52" s="344"/>
      <c r="O52" s="344"/>
      <c r="P52" s="344"/>
      <c r="Q52" s="344"/>
      <c r="R52" s="344"/>
      <c r="S52" s="344"/>
      <c r="T52" s="344"/>
      <c r="U52" s="344"/>
      <c r="V52" s="344"/>
    </row>
    <row r="53" spans="1:22" s="347" customFormat="1">
      <c r="A53" s="344"/>
      <c r="B53" s="344"/>
      <c r="C53" s="344"/>
      <c r="D53" s="344"/>
      <c r="E53" s="344"/>
      <c r="F53" s="344"/>
      <c r="G53" s="344"/>
      <c r="H53" s="344"/>
      <c r="I53" s="344"/>
      <c r="J53" s="344"/>
      <c r="K53" s="344"/>
      <c r="L53" s="360"/>
      <c r="M53" s="344"/>
      <c r="N53" s="344"/>
      <c r="O53" s="344"/>
      <c r="P53" s="344"/>
      <c r="Q53" s="344"/>
      <c r="R53" s="344"/>
      <c r="S53" s="344"/>
      <c r="T53" s="344"/>
      <c r="U53" s="344"/>
      <c r="V53" s="344"/>
    </row>
    <row r="54" spans="1:22" s="347" customFormat="1">
      <c r="A54" s="344"/>
      <c r="B54" s="344"/>
      <c r="C54" s="344"/>
      <c r="D54" s="344"/>
      <c r="E54" s="344"/>
      <c r="F54" s="344"/>
      <c r="G54" s="344"/>
      <c r="H54" s="344"/>
      <c r="I54" s="344"/>
      <c r="J54" s="344"/>
      <c r="K54" s="344"/>
      <c r="L54" s="360"/>
      <c r="M54" s="344"/>
      <c r="N54" s="344"/>
      <c r="O54" s="344"/>
      <c r="P54" s="344"/>
      <c r="Q54" s="344"/>
      <c r="R54" s="344"/>
      <c r="S54" s="344"/>
      <c r="T54" s="344"/>
      <c r="U54" s="344"/>
      <c r="V54" s="344"/>
    </row>
    <row r="55" spans="1:22" s="347" customFormat="1">
      <c r="A55" s="344"/>
      <c r="B55" s="344"/>
      <c r="C55" s="344"/>
      <c r="D55" s="344"/>
      <c r="E55" s="344"/>
      <c r="F55" s="344"/>
      <c r="G55" s="344"/>
      <c r="H55" s="344"/>
      <c r="I55" s="344"/>
      <c r="J55" s="344"/>
      <c r="K55" s="344"/>
      <c r="L55" s="360"/>
      <c r="M55" s="344"/>
      <c r="N55" s="344"/>
      <c r="O55" s="344"/>
      <c r="P55" s="344"/>
      <c r="Q55" s="344"/>
      <c r="R55" s="344"/>
      <c r="S55" s="344"/>
      <c r="T55" s="344"/>
      <c r="U55" s="344"/>
      <c r="V55" s="344"/>
    </row>
    <row r="56" spans="1:22" s="347" customFormat="1">
      <c r="A56" s="344"/>
      <c r="B56" s="344"/>
      <c r="C56" s="344"/>
      <c r="D56" s="344"/>
      <c r="E56" s="344"/>
      <c r="F56" s="344"/>
      <c r="G56" s="344"/>
      <c r="H56" s="344"/>
      <c r="I56" s="344"/>
      <c r="J56" s="344"/>
      <c r="K56" s="344"/>
      <c r="L56" s="360"/>
      <c r="M56" s="344"/>
      <c r="N56" s="344"/>
      <c r="O56" s="344"/>
      <c r="P56" s="344"/>
      <c r="Q56" s="344"/>
      <c r="R56" s="344"/>
      <c r="S56" s="344"/>
      <c r="T56" s="344"/>
      <c r="U56" s="344"/>
      <c r="V56" s="344"/>
    </row>
    <row r="57" spans="1:22" s="347" customFormat="1">
      <c r="A57" s="344"/>
      <c r="B57" s="344"/>
      <c r="C57" s="344"/>
      <c r="D57" s="344"/>
      <c r="E57" s="344"/>
      <c r="F57" s="344"/>
      <c r="G57" s="344"/>
      <c r="H57" s="344"/>
      <c r="I57" s="344"/>
      <c r="J57" s="344"/>
      <c r="K57" s="344"/>
      <c r="L57" s="360"/>
      <c r="M57" s="344"/>
      <c r="N57" s="344"/>
      <c r="O57" s="344"/>
      <c r="P57" s="344"/>
      <c r="Q57" s="344"/>
      <c r="R57" s="344"/>
      <c r="S57" s="344"/>
      <c r="T57" s="344"/>
      <c r="U57" s="344"/>
      <c r="V57" s="344"/>
    </row>
    <row r="58" spans="1:22" s="347" customFormat="1">
      <c r="A58" s="344"/>
      <c r="B58" s="344"/>
      <c r="C58" s="344"/>
      <c r="D58" s="344"/>
      <c r="E58" s="344"/>
      <c r="F58" s="344"/>
      <c r="G58" s="344"/>
      <c r="H58" s="344"/>
      <c r="I58" s="344"/>
      <c r="J58" s="344"/>
      <c r="K58" s="344"/>
      <c r="L58" s="360"/>
      <c r="M58" s="344"/>
      <c r="N58" s="344"/>
      <c r="O58" s="344"/>
      <c r="P58" s="344"/>
      <c r="Q58" s="344"/>
      <c r="R58" s="344"/>
      <c r="S58" s="344"/>
      <c r="T58" s="344"/>
      <c r="U58" s="344"/>
      <c r="V58" s="344"/>
    </row>
    <row r="59" spans="1:22" s="347" customFormat="1">
      <c r="A59" s="344"/>
      <c r="B59" s="344"/>
      <c r="C59" s="344"/>
      <c r="D59" s="344"/>
      <c r="E59" s="344"/>
      <c r="F59" s="344"/>
      <c r="G59" s="344"/>
      <c r="H59" s="344"/>
      <c r="I59" s="344"/>
      <c r="J59" s="344"/>
      <c r="K59" s="344"/>
      <c r="L59" s="360"/>
      <c r="M59" s="344"/>
      <c r="N59" s="344"/>
      <c r="O59" s="344"/>
      <c r="P59" s="344"/>
      <c r="Q59" s="344"/>
      <c r="R59" s="344"/>
      <c r="S59" s="344"/>
      <c r="T59" s="344"/>
      <c r="U59" s="344"/>
      <c r="V59" s="344"/>
    </row>
    <row r="60" spans="1:22" s="347" customFormat="1">
      <c r="A60" s="344"/>
      <c r="B60" s="344"/>
      <c r="C60" s="344"/>
      <c r="D60" s="344"/>
      <c r="E60" s="344"/>
      <c r="F60" s="344"/>
      <c r="G60" s="344"/>
      <c r="H60" s="344"/>
      <c r="I60" s="344"/>
      <c r="J60" s="344"/>
      <c r="K60" s="344"/>
      <c r="L60" s="360"/>
      <c r="M60" s="344"/>
      <c r="N60" s="344"/>
      <c r="O60" s="344"/>
      <c r="P60" s="344"/>
      <c r="Q60" s="344"/>
      <c r="R60" s="344"/>
      <c r="S60" s="344"/>
      <c r="T60" s="344"/>
      <c r="U60" s="344"/>
      <c r="V60" s="344"/>
    </row>
    <row r="61" spans="1:22" s="347" customFormat="1">
      <c r="A61" s="344"/>
      <c r="B61" s="344"/>
      <c r="C61" s="344"/>
      <c r="D61" s="344"/>
      <c r="E61" s="344"/>
      <c r="F61" s="344"/>
      <c r="G61" s="344"/>
      <c r="H61" s="344"/>
      <c r="I61" s="344"/>
      <c r="J61" s="344"/>
      <c r="K61" s="344"/>
      <c r="L61" s="360"/>
      <c r="M61" s="344"/>
      <c r="N61" s="344"/>
      <c r="O61" s="344"/>
      <c r="P61" s="344"/>
      <c r="Q61" s="344"/>
      <c r="R61" s="344"/>
      <c r="S61" s="344"/>
      <c r="T61" s="344"/>
      <c r="U61" s="344"/>
      <c r="V61" s="344"/>
    </row>
    <row r="62" spans="1:22" s="347" customFormat="1">
      <c r="A62" s="344"/>
      <c r="B62" s="344"/>
      <c r="C62" s="344"/>
      <c r="D62" s="344"/>
      <c r="E62" s="344"/>
      <c r="F62" s="344"/>
      <c r="G62" s="344"/>
      <c r="H62" s="344"/>
      <c r="I62" s="344"/>
      <c r="J62" s="344"/>
      <c r="K62" s="344"/>
      <c r="L62" s="360"/>
      <c r="M62" s="344"/>
      <c r="N62" s="344"/>
      <c r="O62" s="344"/>
      <c r="P62" s="344"/>
      <c r="Q62" s="344"/>
      <c r="R62" s="344"/>
      <c r="S62" s="344"/>
      <c r="T62" s="344"/>
      <c r="U62" s="344"/>
      <c r="V62" s="344"/>
    </row>
    <row r="63" spans="1:22" s="347" customFormat="1">
      <c r="A63" s="344"/>
      <c r="B63" s="344"/>
      <c r="C63" s="344"/>
      <c r="D63" s="344"/>
      <c r="E63" s="344"/>
      <c r="F63" s="344"/>
      <c r="G63" s="344"/>
      <c r="H63" s="344"/>
      <c r="I63" s="344"/>
      <c r="J63" s="344"/>
      <c r="K63" s="344"/>
      <c r="L63" s="360"/>
      <c r="M63" s="344"/>
      <c r="N63" s="344"/>
      <c r="O63" s="344"/>
      <c r="P63" s="344"/>
      <c r="Q63" s="344"/>
      <c r="R63" s="344"/>
      <c r="S63" s="344"/>
      <c r="T63" s="344"/>
      <c r="U63" s="344"/>
      <c r="V63" s="344"/>
    </row>
    <row r="64" spans="1:22" s="347" customFormat="1">
      <c r="A64" s="344"/>
      <c r="B64" s="344"/>
      <c r="C64" s="344"/>
      <c r="D64" s="344"/>
      <c r="E64" s="344"/>
      <c r="F64" s="344"/>
      <c r="G64" s="344"/>
      <c r="H64" s="344"/>
      <c r="I64" s="344"/>
      <c r="J64" s="344"/>
      <c r="K64" s="344"/>
      <c r="L64" s="360"/>
      <c r="M64" s="344"/>
      <c r="N64" s="344"/>
      <c r="O64" s="344"/>
      <c r="P64" s="344"/>
      <c r="Q64" s="344"/>
      <c r="R64" s="344"/>
      <c r="S64" s="344"/>
      <c r="T64" s="344"/>
      <c r="U64" s="344"/>
      <c r="V64" s="344"/>
    </row>
    <row r="65" spans="1:22" s="347" customFormat="1">
      <c r="A65" s="344"/>
      <c r="B65" s="344"/>
      <c r="C65" s="344"/>
      <c r="D65" s="344"/>
      <c r="E65" s="344"/>
      <c r="F65" s="344"/>
      <c r="G65" s="344"/>
      <c r="H65" s="344"/>
      <c r="I65" s="344"/>
      <c r="J65" s="344"/>
      <c r="K65" s="344"/>
      <c r="L65" s="360"/>
      <c r="M65" s="344"/>
      <c r="N65" s="344"/>
      <c r="O65" s="344"/>
      <c r="P65" s="344"/>
      <c r="Q65" s="344"/>
      <c r="R65" s="344"/>
      <c r="S65" s="344"/>
      <c r="T65" s="344"/>
      <c r="U65" s="344"/>
      <c r="V65" s="344"/>
    </row>
    <row r="66" spans="1:22" s="347" customFormat="1">
      <c r="A66" s="344"/>
      <c r="B66" s="344"/>
      <c r="C66" s="344"/>
      <c r="D66" s="344"/>
      <c r="E66" s="344"/>
      <c r="F66" s="344"/>
      <c r="G66" s="344"/>
      <c r="H66" s="344"/>
      <c r="I66" s="344"/>
      <c r="J66" s="344"/>
      <c r="K66" s="344"/>
      <c r="L66" s="360"/>
      <c r="M66" s="344"/>
      <c r="N66" s="344"/>
      <c r="O66" s="344"/>
      <c r="P66" s="344"/>
      <c r="Q66" s="344"/>
      <c r="R66" s="344"/>
      <c r="S66" s="344"/>
      <c r="T66" s="344"/>
      <c r="U66" s="344"/>
      <c r="V66" s="344"/>
    </row>
    <row r="67" spans="1:22" s="347" customFormat="1">
      <c r="A67" s="344"/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60"/>
      <c r="M67" s="344"/>
      <c r="N67" s="344"/>
      <c r="O67" s="344"/>
      <c r="P67" s="344"/>
      <c r="Q67" s="344"/>
      <c r="R67" s="344"/>
      <c r="S67" s="344"/>
      <c r="T67" s="344"/>
      <c r="U67" s="344"/>
      <c r="V67" s="344"/>
    </row>
    <row r="68" spans="1:22" s="347" customFormat="1">
      <c r="A68" s="344"/>
      <c r="B68" s="344"/>
      <c r="C68" s="344"/>
      <c r="D68" s="344"/>
      <c r="E68" s="344"/>
      <c r="F68" s="344"/>
      <c r="G68" s="344"/>
      <c r="H68" s="344"/>
      <c r="I68" s="344"/>
      <c r="J68" s="344"/>
      <c r="K68" s="344"/>
      <c r="L68" s="360"/>
      <c r="M68" s="344"/>
      <c r="N68" s="344"/>
      <c r="O68" s="344"/>
      <c r="P68" s="344"/>
      <c r="Q68" s="344"/>
      <c r="R68" s="344"/>
      <c r="S68" s="344"/>
      <c r="T68" s="344"/>
      <c r="U68" s="344"/>
      <c r="V68" s="344"/>
    </row>
    <row r="69" spans="1:22" s="347" customFormat="1">
      <c r="A69" s="344"/>
      <c r="B69" s="344"/>
      <c r="C69" s="344"/>
      <c r="D69" s="344"/>
      <c r="E69" s="344"/>
      <c r="F69" s="344"/>
      <c r="G69" s="344"/>
      <c r="H69" s="344"/>
      <c r="I69" s="344"/>
      <c r="J69" s="344"/>
      <c r="K69" s="344"/>
      <c r="L69" s="360"/>
      <c r="M69" s="344"/>
      <c r="N69" s="344"/>
      <c r="O69" s="344"/>
      <c r="P69" s="344"/>
      <c r="Q69" s="344"/>
      <c r="R69" s="344"/>
      <c r="S69" s="344"/>
      <c r="T69" s="344"/>
      <c r="U69" s="344"/>
      <c r="V69" s="344"/>
    </row>
    <row r="70" spans="1:22" s="347" customFormat="1">
      <c r="A70" s="344"/>
      <c r="B70" s="344"/>
      <c r="C70" s="344"/>
      <c r="D70" s="344"/>
      <c r="E70" s="344"/>
      <c r="F70" s="344"/>
      <c r="G70" s="344"/>
      <c r="H70" s="344"/>
      <c r="I70" s="344"/>
      <c r="J70" s="344"/>
      <c r="K70" s="344"/>
      <c r="L70" s="360"/>
      <c r="M70" s="344"/>
      <c r="N70" s="344"/>
      <c r="O70" s="344"/>
      <c r="P70" s="344"/>
      <c r="Q70" s="344"/>
      <c r="R70" s="344"/>
      <c r="S70" s="344"/>
      <c r="T70" s="344"/>
      <c r="U70" s="344"/>
      <c r="V70" s="344"/>
    </row>
    <row r="71" spans="1:22" s="347" customFormat="1">
      <c r="A71" s="344"/>
      <c r="B71" s="344"/>
      <c r="C71" s="344"/>
      <c r="D71" s="344"/>
      <c r="E71" s="344"/>
      <c r="F71" s="344"/>
      <c r="G71" s="344"/>
      <c r="H71" s="344"/>
      <c r="I71" s="344"/>
      <c r="J71" s="344"/>
      <c r="K71" s="344"/>
      <c r="L71" s="360"/>
      <c r="M71" s="344"/>
      <c r="N71" s="344"/>
      <c r="O71" s="344"/>
      <c r="P71" s="344"/>
      <c r="Q71" s="344"/>
      <c r="R71" s="344"/>
      <c r="S71" s="344"/>
      <c r="T71" s="344"/>
      <c r="U71" s="344"/>
      <c r="V71" s="344"/>
    </row>
    <row r="72" spans="1:22" s="347" customFormat="1">
      <c r="A72" s="344"/>
      <c r="B72" s="344"/>
      <c r="C72" s="344"/>
      <c r="D72" s="344"/>
      <c r="E72" s="344"/>
      <c r="F72" s="344"/>
      <c r="G72" s="344"/>
      <c r="H72" s="344"/>
      <c r="I72" s="344"/>
      <c r="J72" s="344"/>
      <c r="K72" s="344"/>
      <c r="L72" s="360"/>
      <c r="M72" s="344"/>
      <c r="N72" s="344"/>
      <c r="O72" s="344"/>
      <c r="P72" s="344"/>
      <c r="Q72" s="344"/>
      <c r="R72" s="344"/>
      <c r="S72" s="344"/>
      <c r="T72" s="344"/>
      <c r="U72" s="344"/>
      <c r="V72" s="344"/>
    </row>
    <row r="73" spans="1:22" s="347" customFormat="1">
      <c r="A73" s="344"/>
      <c r="B73" s="344"/>
      <c r="C73" s="344"/>
      <c r="D73" s="344"/>
      <c r="E73" s="344"/>
      <c r="F73" s="344"/>
      <c r="G73" s="344"/>
      <c r="H73" s="344"/>
      <c r="I73" s="344"/>
      <c r="J73" s="344"/>
      <c r="K73" s="344"/>
      <c r="L73" s="360"/>
      <c r="M73" s="344"/>
      <c r="N73" s="344"/>
      <c r="O73" s="344"/>
      <c r="P73" s="344"/>
      <c r="Q73" s="344"/>
      <c r="R73" s="344"/>
      <c r="S73" s="344"/>
      <c r="T73" s="344"/>
      <c r="U73" s="344"/>
      <c r="V73" s="344"/>
    </row>
    <row r="74" spans="1:22" s="347" customFormat="1">
      <c r="A74" s="344"/>
      <c r="B74" s="344"/>
      <c r="C74" s="344"/>
      <c r="D74" s="344"/>
      <c r="E74" s="344"/>
      <c r="F74" s="344"/>
      <c r="G74" s="344"/>
      <c r="H74" s="344"/>
      <c r="I74" s="344"/>
      <c r="J74" s="344"/>
      <c r="K74" s="344"/>
      <c r="L74" s="360"/>
      <c r="M74" s="344"/>
      <c r="N74" s="344"/>
      <c r="O74" s="344"/>
      <c r="P74" s="344"/>
      <c r="Q74" s="344"/>
      <c r="R74" s="344"/>
      <c r="S74" s="344"/>
      <c r="T74" s="344"/>
      <c r="U74" s="344"/>
      <c r="V74" s="344"/>
    </row>
    <row r="75" spans="1:22" s="347" customFormat="1">
      <c r="A75" s="344"/>
      <c r="B75" s="344"/>
      <c r="C75" s="344"/>
      <c r="D75" s="344"/>
      <c r="E75" s="344"/>
      <c r="F75" s="344"/>
      <c r="G75" s="344"/>
      <c r="H75" s="344"/>
      <c r="I75" s="344"/>
      <c r="J75" s="344"/>
      <c r="K75" s="344"/>
      <c r="L75" s="360"/>
      <c r="M75" s="344"/>
      <c r="N75" s="344"/>
      <c r="O75" s="344"/>
      <c r="P75" s="344"/>
      <c r="Q75" s="344"/>
      <c r="R75" s="344"/>
      <c r="S75" s="344"/>
      <c r="T75" s="344"/>
      <c r="U75" s="344"/>
      <c r="V75" s="344"/>
    </row>
    <row r="76" spans="1:22" s="347" customFormat="1">
      <c r="A76" s="344"/>
      <c r="B76" s="344"/>
      <c r="C76" s="344"/>
      <c r="D76" s="344"/>
      <c r="E76" s="344"/>
      <c r="F76" s="344"/>
      <c r="G76" s="344"/>
      <c r="H76" s="344"/>
      <c r="I76" s="344"/>
      <c r="J76" s="344"/>
      <c r="K76" s="344"/>
      <c r="L76" s="360"/>
      <c r="M76" s="344"/>
      <c r="N76" s="344"/>
      <c r="O76" s="344"/>
      <c r="P76" s="344"/>
      <c r="Q76" s="344"/>
      <c r="R76" s="344"/>
      <c r="S76" s="344"/>
      <c r="T76" s="344"/>
      <c r="U76" s="344"/>
      <c r="V76" s="344"/>
    </row>
    <row r="77" spans="1:22" s="347" customFormat="1">
      <c r="A77" s="344"/>
      <c r="B77" s="344"/>
      <c r="C77" s="344"/>
      <c r="D77" s="344"/>
      <c r="E77" s="344"/>
      <c r="F77" s="344"/>
      <c r="G77" s="344"/>
      <c r="H77" s="344"/>
      <c r="I77" s="344"/>
      <c r="J77" s="344"/>
      <c r="K77" s="344"/>
      <c r="L77" s="360"/>
      <c r="M77" s="344"/>
      <c r="N77" s="344"/>
      <c r="O77" s="344"/>
      <c r="P77" s="344"/>
      <c r="Q77" s="344"/>
      <c r="R77" s="344"/>
      <c r="S77" s="344"/>
      <c r="T77" s="344"/>
      <c r="U77" s="344"/>
      <c r="V77" s="344"/>
    </row>
    <row r="78" spans="1:22" s="347" customFormat="1">
      <c r="A78" s="344"/>
      <c r="B78" s="344"/>
      <c r="C78" s="344"/>
      <c r="D78" s="344"/>
      <c r="E78" s="344"/>
      <c r="F78" s="344"/>
      <c r="G78" s="344"/>
      <c r="H78" s="344"/>
      <c r="I78" s="344"/>
      <c r="J78" s="344"/>
      <c r="K78" s="344"/>
      <c r="L78" s="360"/>
      <c r="M78" s="344"/>
      <c r="N78" s="344"/>
      <c r="O78" s="344"/>
      <c r="P78" s="344"/>
      <c r="Q78" s="344"/>
      <c r="R78" s="344"/>
      <c r="S78" s="344"/>
      <c r="T78" s="344"/>
      <c r="U78" s="344"/>
      <c r="V78" s="344"/>
    </row>
    <row r="79" spans="1:22" s="347" customFormat="1">
      <c r="A79" s="344"/>
      <c r="B79" s="344"/>
      <c r="C79" s="344"/>
      <c r="D79" s="344"/>
      <c r="E79" s="344"/>
      <c r="F79" s="344"/>
      <c r="G79" s="344"/>
      <c r="H79" s="344"/>
      <c r="I79" s="344"/>
      <c r="J79" s="344"/>
      <c r="K79" s="344"/>
      <c r="L79" s="360"/>
      <c r="M79" s="344"/>
      <c r="N79" s="344"/>
      <c r="O79" s="344"/>
      <c r="P79" s="344"/>
      <c r="Q79" s="344"/>
      <c r="R79" s="344"/>
      <c r="S79" s="344"/>
      <c r="T79" s="344"/>
      <c r="U79" s="344"/>
      <c r="V79" s="344"/>
    </row>
    <row r="80" spans="1:22" s="347" customFormat="1">
      <c r="A80" s="344"/>
      <c r="B80" s="344"/>
      <c r="C80" s="344"/>
      <c r="D80" s="344"/>
      <c r="E80" s="344"/>
      <c r="F80" s="344"/>
      <c r="G80" s="344"/>
      <c r="H80" s="344"/>
      <c r="I80" s="344"/>
      <c r="J80" s="344"/>
      <c r="K80" s="344"/>
      <c r="L80" s="360"/>
      <c r="M80" s="344"/>
      <c r="N80" s="344"/>
      <c r="O80" s="344"/>
      <c r="P80" s="344"/>
      <c r="Q80" s="344"/>
      <c r="R80" s="344"/>
      <c r="S80" s="344"/>
      <c r="T80" s="344"/>
      <c r="U80" s="344"/>
      <c r="V80" s="344"/>
    </row>
    <row r="81" spans="1:22" s="347" customFormat="1">
      <c r="A81" s="344"/>
      <c r="B81" s="344"/>
      <c r="C81" s="344"/>
      <c r="D81" s="344"/>
      <c r="E81" s="344"/>
      <c r="F81" s="344"/>
      <c r="G81" s="344"/>
      <c r="H81" s="344"/>
      <c r="I81" s="344"/>
      <c r="J81" s="344"/>
      <c r="K81" s="344"/>
      <c r="L81" s="360"/>
      <c r="M81" s="344"/>
      <c r="N81" s="344"/>
      <c r="O81" s="344"/>
      <c r="P81" s="344"/>
      <c r="Q81" s="344"/>
      <c r="R81" s="344"/>
      <c r="S81" s="344"/>
      <c r="T81" s="344"/>
      <c r="U81" s="344"/>
      <c r="V81" s="344"/>
    </row>
    <row r="82" spans="1:22" s="347" customFormat="1">
      <c r="A82" s="344"/>
      <c r="B82" s="344"/>
      <c r="C82" s="344"/>
      <c r="D82" s="344"/>
      <c r="E82" s="344"/>
      <c r="F82" s="344"/>
      <c r="G82" s="344"/>
      <c r="H82" s="344"/>
      <c r="I82" s="344"/>
      <c r="J82" s="344"/>
      <c r="K82" s="344"/>
      <c r="L82" s="360"/>
      <c r="M82" s="344"/>
      <c r="N82" s="344"/>
      <c r="O82" s="344"/>
      <c r="P82" s="344"/>
      <c r="Q82" s="344"/>
      <c r="R82" s="344"/>
      <c r="S82" s="344"/>
      <c r="T82" s="344"/>
      <c r="U82" s="344"/>
      <c r="V82" s="344"/>
    </row>
    <row r="83" spans="1:22" s="347" customFormat="1">
      <c r="A83" s="344"/>
      <c r="B83" s="344"/>
      <c r="C83" s="344"/>
      <c r="D83" s="344"/>
      <c r="E83" s="344"/>
      <c r="F83" s="344"/>
      <c r="G83" s="344"/>
      <c r="H83" s="344"/>
      <c r="I83" s="344"/>
      <c r="J83" s="344"/>
      <c r="K83" s="344"/>
      <c r="L83" s="360"/>
      <c r="M83" s="344"/>
      <c r="N83" s="344"/>
      <c r="O83" s="344"/>
      <c r="P83" s="344"/>
      <c r="Q83" s="344"/>
      <c r="R83" s="344"/>
      <c r="S83" s="344"/>
      <c r="T83" s="344"/>
      <c r="U83" s="344"/>
      <c r="V83" s="344"/>
    </row>
    <row r="84" spans="1:22" s="347" customFormat="1">
      <c r="A84" s="344"/>
      <c r="B84" s="344"/>
      <c r="C84" s="344"/>
      <c r="D84" s="344"/>
      <c r="E84" s="344"/>
      <c r="F84" s="344"/>
      <c r="G84" s="344"/>
      <c r="H84" s="344"/>
      <c r="I84" s="344"/>
      <c r="J84" s="344"/>
      <c r="K84" s="344"/>
      <c r="L84" s="360"/>
      <c r="M84" s="344"/>
      <c r="N84" s="344"/>
      <c r="O84" s="344"/>
      <c r="P84" s="344"/>
      <c r="Q84" s="344"/>
      <c r="R84" s="344"/>
      <c r="S84" s="344"/>
      <c r="T84" s="344"/>
      <c r="U84" s="344"/>
      <c r="V84" s="344"/>
    </row>
    <row r="85" spans="1:22" s="347" customFormat="1">
      <c r="A85" s="344"/>
      <c r="B85" s="344"/>
      <c r="C85" s="344"/>
      <c r="D85" s="344"/>
      <c r="E85" s="344"/>
      <c r="F85" s="344"/>
      <c r="G85" s="344"/>
      <c r="H85" s="344"/>
      <c r="I85" s="344"/>
      <c r="J85" s="344"/>
      <c r="K85" s="344"/>
      <c r="L85" s="360"/>
      <c r="M85" s="344"/>
      <c r="N85" s="344"/>
      <c r="O85" s="344"/>
      <c r="P85" s="344"/>
      <c r="Q85" s="344"/>
      <c r="R85" s="344"/>
      <c r="S85" s="344"/>
      <c r="T85" s="344"/>
      <c r="U85" s="344"/>
      <c r="V85" s="344"/>
    </row>
    <row r="86" spans="1:22" s="347" customFormat="1">
      <c r="A86" s="344"/>
      <c r="B86" s="344"/>
      <c r="C86" s="344"/>
      <c r="D86" s="344"/>
      <c r="E86" s="344"/>
      <c r="F86" s="344"/>
      <c r="G86" s="344"/>
      <c r="H86" s="344"/>
      <c r="I86" s="344"/>
      <c r="J86" s="344"/>
      <c r="K86" s="344"/>
      <c r="L86" s="360"/>
      <c r="M86" s="344"/>
      <c r="N86" s="344"/>
      <c r="O86" s="344"/>
      <c r="P86" s="344"/>
      <c r="Q86" s="344"/>
      <c r="R86" s="344"/>
      <c r="S86" s="344"/>
      <c r="T86" s="344"/>
      <c r="U86" s="344"/>
      <c r="V86" s="344"/>
    </row>
    <row r="87" spans="1:22" s="347" customFormat="1">
      <c r="A87" s="344"/>
      <c r="B87" s="344"/>
      <c r="C87" s="344"/>
      <c r="D87" s="344"/>
      <c r="E87" s="344"/>
      <c r="F87" s="344"/>
      <c r="G87" s="344"/>
      <c r="H87" s="344"/>
      <c r="I87" s="344"/>
      <c r="J87" s="344"/>
      <c r="K87" s="344"/>
      <c r="L87" s="360"/>
      <c r="M87" s="344"/>
      <c r="N87" s="344"/>
      <c r="O87" s="344"/>
      <c r="P87" s="344"/>
      <c r="Q87" s="344"/>
      <c r="R87" s="344"/>
      <c r="S87" s="344"/>
      <c r="T87" s="344"/>
      <c r="U87" s="344"/>
      <c r="V87" s="344"/>
    </row>
    <row r="88" spans="1:22" s="347" customFormat="1">
      <c r="A88" s="344"/>
      <c r="B88" s="344"/>
      <c r="C88" s="344"/>
      <c r="D88" s="344"/>
      <c r="E88" s="344"/>
      <c r="F88" s="344"/>
      <c r="G88" s="344"/>
      <c r="H88" s="344"/>
      <c r="I88" s="344"/>
      <c r="J88" s="344"/>
      <c r="K88" s="344"/>
      <c r="L88" s="360"/>
      <c r="M88" s="344"/>
      <c r="N88" s="344"/>
      <c r="O88" s="344"/>
      <c r="P88" s="344"/>
      <c r="Q88" s="344"/>
      <c r="R88" s="344"/>
      <c r="S88" s="344"/>
      <c r="T88" s="344"/>
      <c r="U88" s="344"/>
      <c r="V88" s="344"/>
    </row>
    <row r="89" spans="1:22" s="347" customFormat="1">
      <c r="A89" s="344"/>
      <c r="B89" s="344"/>
      <c r="C89" s="344"/>
      <c r="D89" s="344"/>
      <c r="E89" s="344"/>
      <c r="F89" s="344"/>
      <c r="G89" s="344"/>
      <c r="H89" s="344"/>
      <c r="I89" s="344"/>
      <c r="J89" s="344"/>
      <c r="K89" s="344"/>
      <c r="L89" s="360"/>
      <c r="M89" s="344"/>
      <c r="N89" s="344"/>
      <c r="O89" s="344"/>
      <c r="P89" s="344"/>
      <c r="Q89" s="344"/>
      <c r="R89" s="344"/>
      <c r="S89" s="344"/>
      <c r="T89" s="344"/>
      <c r="U89" s="344"/>
      <c r="V89" s="344"/>
    </row>
    <row r="90" spans="1:22" s="347" customFormat="1">
      <c r="A90" s="344"/>
      <c r="B90" s="344"/>
      <c r="C90" s="344"/>
      <c r="D90" s="344"/>
      <c r="E90" s="344"/>
      <c r="F90" s="344"/>
      <c r="G90" s="344"/>
      <c r="H90" s="344"/>
      <c r="I90" s="344"/>
      <c r="J90" s="344"/>
      <c r="K90" s="344"/>
      <c r="L90" s="360"/>
      <c r="M90" s="344"/>
      <c r="N90" s="344"/>
      <c r="O90" s="344"/>
      <c r="P90" s="344"/>
      <c r="Q90" s="344"/>
      <c r="R90" s="344"/>
      <c r="S90" s="344"/>
      <c r="T90" s="344"/>
      <c r="U90" s="344"/>
      <c r="V90" s="344"/>
    </row>
    <row r="91" spans="1:22" s="347" customFormat="1">
      <c r="A91" s="344"/>
      <c r="B91" s="344"/>
      <c r="C91" s="344"/>
      <c r="D91" s="344"/>
      <c r="E91" s="344"/>
      <c r="F91" s="344"/>
      <c r="G91" s="344"/>
      <c r="H91" s="344"/>
      <c r="I91" s="344"/>
      <c r="J91" s="344"/>
      <c r="K91" s="344"/>
      <c r="L91" s="360"/>
      <c r="M91" s="344"/>
      <c r="N91" s="344"/>
      <c r="O91" s="344"/>
      <c r="P91" s="344"/>
      <c r="Q91" s="344"/>
      <c r="R91" s="344"/>
      <c r="S91" s="344"/>
      <c r="T91" s="344"/>
      <c r="U91" s="344"/>
      <c r="V91" s="344"/>
    </row>
    <row r="92" spans="1:22" s="347" customFormat="1">
      <c r="A92" s="344"/>
      <c r="B92" s="344"/>
      <c r="C92" s="344"/>
      <c r="D92" s="344"/>
      <c r="E92" s="344"/>
      <c r="F92" s="344"/>
      <c r="G92" s="344"/>
      <c r="H92" s="344"/>
      <c r="I92" s="344"/>
      <c r="J92" s="344"/>
      <c r="K92" s="344"/>
      <c r="L92" s="360"/>
      <c r="M92" s="344"/>
      <c r="N92" s="344"/>
      <c r="O92" s="344"/>
      <c r="P92" s="344"/>
      <c r="Q92" s="344"/>
      <c r="R92" s="344"/>
      <c r="S92" s="344"/>
      <c r="T92" s="344"/>
      <c r="U92" s="344"/>
      <c r="V92" s="344"/>
    </row>
    <row r="93" spans="1:22" s="347" customFormat="1">
      <c r="A93" s="344"/>
      <c r="B93" s="344"/>
      <c r="C93" s="344"/>
      <c r="D93" s="344"/>
      <c r="E93" s="344"/>
      <c r="F93" s="344"/>
      <c r="G93" s="344"/>
      <c r="H93" s="344"/>
      <c r="I93" s="344"/>
      <c r="J93" s="344"/>
      <c r="K93" s="344"/>
      <c r="L93" s="360"/>
      <c r="M93" s="344"/>
      <c r="N93" s="344"/>
      <c r="O93" s="344"/>
      <c r="P93" s="344"/>
      <c r="Q93" s="344"/>
      <c r="R93" s="344"/>
      <c r="S93" s="344"/>
      <c r="T93" s="344"/>
      <c r="U93" s="344"/>
      <c r="V93" s="344"/>
    </row>
    <row r="94" spans="1:22" s="347" customFormat="1">
      <c r="A94" s="344"/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60"/>
      <c r="M94" s="344"/>
      <c r="N94" s="344"/>
      <c r="O94" s="344"/>
      <c r="P94" s="344"/>
      <c r="Q94" s="344"/>
      <c r="R94" s="344"/>
      <c r="S94" s="344"/>
      <c r="T94" s="344"/>
      <c r="U94" s="344"/>
      <c r="V94" s="344"/>
    </row>
    <row r="95" spans="1:22" s="347" customFormat="1">
      <c r="A95" s="344"/>
      <c r="B95" s="344"/>
      <c r="C95" s="344"/>
      <c r="D95" s="344"/>
      <c r="E95" s="344"/>
      <c r="F95" s="344"/>
      <c r="G95" s="344"/>
      <c r="H95" s="344"/>
      <c r="I95" s="344"/>
      <c r="J95" s="344"/>
      <c r="K95" s="344"/>
      <c r="L95" s="360"/>
      <c r="M95" s="344"/>
      <c r="N95" s="344"/>
      <c r="O95" s="344"/>
      <c r="P95" s="344"/>
      <c r="Q95" s="344"/>
      <c r="R95" s="344"/>
      <c r="S95" s="344"/>
      <c r="T95" s="344"/>
      <c r="U95" s="344"/>
      <c r="V95" s="344"/>
    </row>
    <row r="96" spans="1:22" s="347" customFormat="1">
      <c r="A96" s="344"/>
      <c r="B96" s="344"/>
      <c r="C96" s="344"/>
      <c r="D96" s="344"/>
      <c r="E96" s="344"/>
      <c r="F96" s="344"/>
      <c r="G96" s="344"/>
      <c r="H96" s="344"/>
      <c r="I96" s="344"/>
      <c r="J96" s="344"/>
      <c r="K96" s="344"/>
      <c r="L96" s="360"/>
      <c r="M96" s="344"/>
      <c r="N96" s="344"/>
      <c r="O96" s="344"/>
      <c r="P96" s="344"/>
      <c r="Q96" s="344"/>
      <c r="R96" s="344"/>
      <c r="S96" s="344"/>
      <c r="T96" s="344"/>
      <c r="U96" s="344"/>
      <c r="V96" s="344"/>
    </row>
    <row r="97" spans="1:22" s="347" customFormat="1">
      <c r="A97" s="344"/>
      <c r="B97" s="344"/>
      <c r="C97" s="344"/>
      <c r="D97" s="344"/>
      <c r="E97" s="344"/>
      <c r="F97" s="344"/>
      <c r="G97" s="344"/>
      <c r="H97" s="344"/>
      <c r="I97" s="344"/>
      <c r="J97" s="344"/>
      <c r="K97" s="344"/>
      <c r="L97" s="360"/>
      <c r="M97" s="344"/>
      <c r="N97" s="344"/>
      <c r="O97" s="344"/>
      <c r="P97" s="344"/>
      <c r="Q97" s="344"/>
      <c r="R97" s="344"/>
      <c r="S97" s="344"/>
      <c r="T97" s="344"/>
      <c r="U97" s="344"/>
      <c r="V97" s="344"/>
    </row>
    <row r="98" spans="1:22" s="347" customFormat="1">
      <c r="A98" s="344"/>
      <c r="B98" s="344"/>
      <c r="C98" s="344"/>
      <c r="D98" s="344"/>
      <c r="E98" s="344"/>
      <c r="F98" s="344"/>
      <c r="G98" s="344"/>
      <c r="H98" s="344"/>
      <c r="I98" s="344"/>
      <c r="J98" s="344"/>
      <c r="K98" s="344"/>
      <c r="L98" s="360"/>
      <c r="M98" s="344"/>
      <c r="N98" s="344"/>
      <c r="O98" s="344"/>
      <c r="P98" s="344"/>
      <c r="Q98" s="344"/>
      <c r="R98" s="344"/>
      <c r="S98" s="344"/>
      <c r="T98" s="344"/>
      <c r="U98" s="344"/>
      <c r="V98" s="344"/>
    </row>
    <row r="99" spans="1:22" s="347" customFormat="1">
      <c r="A99" s="344"/>
      <c r="B99" s="344"/>
      <c r="C99" s="344"/>
      <c r="D99" s="344"/>
      <c r="E99" s="344"/>
      <c r="F99" s="344"/>
      <c r="G99" s="344"/>
      <c r="H99" s="344"/>
      <c r="I99" s="344"/>
      <c r="J99" s="344"/>
      <c r="K99" s="344"/>
      <c r="L99" s="360"/>
      <c r="M99" s="344"/>
      <c r="N99" s="344"/>
      <c r="O99" s="344"/>
      <c r="P99" s="344"/>
      <c r="Q99" s="344"/>
      <c r="R99" s="344"/>
      <c r="S99" s="344"/>
      <c r="T99" s="344"/>
      <c r="U99" s="344"/>
      <c r="V99" s="344"/>
    </row>
    <row r="100" spans="1:22" s="347" customFormat="1">
      <c r="A100" s="344"/>
      <c r="B100" s="344"/>
      <c r="C100" s="344"/>
      <c r="D100" s="344"/>
      <c r="E100" s="344"/>
      <c r="F100" s="344"/>
      <c r="G100" s="344"/>
      <c r="H100" s="344"/>
      <c r="I100" s="344"/>
      <c r="J100" s="344"/>
      <c r="K100" s="344"/>
      <c r="L100" s="360"/>
      <c r="M100" s="344"/>
      <c r="N100" s="344"/>
      <c r="O100" s="344"/>
      <c r="P100" s="344"/>
      <c r="Q100" s="344"/>
      <c r="R100" s="344"/>
      <c r="S100" s="344"/>
      <c r="T100" s="344"/>
      <c r="U100" s="344"/>
      <c r="V100" s="344"/>
    </row>
    <row r="101" spans="1:22" s="347" customFormat="1">
      <c r="A101" s="344"/>
      <c r="B101" s="344"/>
      <c r="C101" s="344"/>
      <c r="D101" s="344"/>
      <c r="E101" s="344"/>
      <c r="F101" s="344"/>
      <c r="G101" s="344"/>
      <c r="H101" s="344"/>
      <c r="I101" s="344"/>
      <c r="J101" s="344"/>
      <c r="K101" s="344"/>
      <c r="L101" s="360"/>
      <c r="M101" s="344"/>
      <c r="N101" s="344"/>
      <c r="O101" s="344"/>
      <c r="P101" s="344"/>
      <c r="Q101" s="344"/>
      <c r="R101" s="344"/>
      <c r="S101" s="344"/>
      <c r="T101" s="344"/>
      <c r="U101" s="344"/>
      <c r="V101" s="344"/>
    </row>
    <row r="102" spans="1:22" s="347" customFormat="1">
      <c r="A102" s="344"/>
      <c r="B102" s="344"/>
      <c r="C102" s="344"/>
      <c r="D102" s="344"/>
      <c r="E102" s="344"/>
      <c r="F102" s="344"/>
      <c r="G102" s="344"/>
      <c r="H102" s="344"/>
      <c r="I102" s="344"/>
      <c r="J102" s="344"/>
      <c r="K102" s="344"/>
      <c r="L102" s="360"/>
      <c r="M102" s="344"/>
      <c r="N102" s="344"/>
      <c r="O102" s="344"/>
      <c r="P102" s="344"/>
      <c r="Q102" s="344"/>
      <c r="R102" s="344"/>
      <c r="S102" s="344"/>
      <c r="T102" s="344"/>
      <c r="U102" s="344"/>
      <c r="V102" s="344"/>
    </row>
    <row r="103" spans="1:22" s="347" customFormat="1">
      <c r="A103" s="344"/>
      <c r="B103" s="344"/>
      <c r="C103" s="344"/>
      <c r="D103" s="344"/>
      <c r="E103" s="344"/>
      <c r="F103" s="344"/>
      <c r="G103" s="344"/>
      <c r="H103" s="344"/>
      <c r="I103" s="344"/>
      <c r="J103" s="344"/>
      <c r="K103" s="344"/>
      <c r="L103" s="360"/>
      <c r="M103" s="344"/>
      <c r="N103" s="344"/>
      <c r="O103" s="344"/>
      <c r="P103" s="344"/>
      <c r="Q103" s="344"/>
      <c r="R103" s="344"/>
      <c r="S103" s="344"/>
      <c r="T103" s="344"/>
      <c r="U103" s="344"/>
      <c r="V103" s="344"/>
    </row>
    <row r="104" spans="1:22" s="347" customFormat="1">
      <c r="A104" s="344"/>
      <c r="B104" s="344"/>
      <c r="C104" s="344"/>
      <c r="D104" s="344"/>
      <c r="E104" s="344"/>
      <c r="F104" s="344"/>
      <c r="G104" s="344"/>
      <c r="H104" s="344"/>
      <c r="I104" s="344"/>
      <c r="J104" s="344"/>
      <c r="K104" s="344"/>
      <c r="L104" s="360"/>
      <c r="M104" s="344"/>
      <c r="N104" s="344"/>
      <c r="O104" s="344"/>
      <c r="P104" s="344"/>
      <c r="Q104" s="344"/>
      <c r="R104" s="344"/>
      <c r="S104" s="344"/>
      <c r="T104" s="344"/>
      <c r="U104" s="344"/>
      <c r="V104" s="344"/>
    </row>
    <row r="105" spans="1:22" s="347" customFormat="1">
      <c r="A105" s="344"/>
      <c r="B105" s="344"/>
      <c r="C105" s="344"/>
      <c r="D105" s="344"/>
      <c r="E105" s="344"/>
      <c r="F105" s="344"/>
      <c r="G105" s="344"/>
      <c r="H105" s="344"/>
      <c r="I105" s="344"/>
      <c r="J105" s="344"/>
      <c r="K105" s="344"/>
      <c r="L105" s="360"/>
      <c r="M105" s="344"/>
      <c r="N105" s="344"/>
      <c r="O105" s="344"/>
      <c r="P105" s="344"/>
      <c r="Q105" s="344"/>
      <c r="R105" s="344"/>
      <c r="S105" s="344"/>
      <c r="T105" s="344"/>
      <c r="U105" s="344"/>
      <c r="V105" s="344"/>
    </row>
    <row r="106" spans="1:22" s="347" customFormat="1">
      <c r="A106" s="344"/>
      <c r="B106" s="344"/>
      <c r="C106" s="344"/>
      <c r="D106" s="344"/>
      <c r="E106" s="344"/>
      <c r="F106" s="344"/>
      <c r="G106" s="344"/>
      <c r="H106" s="344"/>
      <c r="I106" s="344"/>
      <c r="J106" s="344"/>
      <c r="K106" s="344"/>
      <c r="L106" s="360"/>
      <c r="M106" s="344"/>
      <c r="N106" s="344"/>
      <c r="O106" s="344"/>
      <c r="P106" s="344"/>
      <c r="Q106" s="344"/>
      <c r="R106" s="344"/>
      <c r="S106" s="344"/>
      <c r="T106" s="344"/>
      <c r="U106" s="344"/>
      <c r="V106" s="344"/>
    </row>
    <row r="107" spans="1:22" s="347" customFormat="1">
      <c r="A107" s="344"/>
      <c r="B107" s="344"/>
      <c r="C107" s="344"/>
      <c r="D107" s="344"/>
      <c r="E107" s="344"/>
      <c r="F107" s="344"/>
      <c r="G107" s="344"/>
      <c r="H107" s="344"/>
      <c r="I107" s="344"/>
      <c r="J107" s="344"/>
      <c r="K107" s="344"/>
      <c r="L107" s="360"/>
      <c r="M107" s="344"/>
      <c r="N107" s="344"/>
      <c r="O107" s="344"/>
      <c r="P107" s="344"/>
      <c r="Q107" s="344"/>
      <c r="R107" s="344"/>
      <c r="S107" s="344"/>
      <c r="T107" s="344"/>
      <c r="U107" s="344"/>
      <c r="V107" s="344"/>
    </row>
    <row r="108" spans="1:22" s="347" customFormat="1">
      <c r="A108" s="344"/>
      <c r="B108" s="344"/>
      <c r="C108" s="344"/>
      <c r="D108" s="344"/>
      <c r="E108" s="344"/>
      <c r="F108" s="344"/>
      <c r="G108" s="344"/>
      <c r="H108" s="344"/>
      <c r="I108" s="344"/>
      <c r="J108" s="344"/>
      <c r="K108" s="344"/>
      <c r="L108" s="360"/>
      <c r="M108" s="344"/>
      <c r="N108" s="344"/>
      <c r="O108" s="344"/>
      <c r="P108" s="344"/>
      <c r="Q108" s="344"/>
      <c r="R108" s="344"/>
      <c r="S108" s="344"/>
      <c r="T108" s="344"/>
      <c r="U108" s="344"/>
      <c r="V108" s="344"/>
    </row>
    <row r="109" spans="1:22" s="347" customFormat="1">
      <c r="A109" s="344"/>
      <c r="B109" s="344"/>
      <c r="C109" s="344"/>
      <c r="D109" s="344"/>
      <c r="E109" s="344"/>
      <c r="F109" s="344"/>
      <c r="G109" s="344"/>
      <c r="H109" s="344"/>
      <c r="I109" s="344"/>
      <c r="J109" s="344"/>
      <c r="K109" s="344"/>
      <c r="L109" s="360"/>
      <c r="M109" s="344"/>
      <c r="N109" s="344"/>
      <c r="O109" s="344"/>
      <c r="P109" s="344"/>
      <c r="Q109" s="344"/>
      <c r="R109" s="344"/>
      <c r="S109" s="344"/>
      <c r="T109" s="344"/>
      <c r="U109" s="344"/>
      <c r="V109" s="344"/>
    </row>
    <row r="110" spans="1:22" s="347" customFormat="1">
      <c r="A110" s="344"/>
      <c r="B110" s="344"/>
      <c r="C110" s="344"/>
      <c r="D110" s="344"/>
      <c r="E110" s="344"/>
      <c r="F110" s="344"/>
      <c r="G110" s="344"/>
      <c r="H110" s="344"/>
      <c r="I110" s="344"/>
      <c r="J110" s="344"/>
      <c r="K110" s="344"/>
      <c r="L110" s="360"/>
      <c r="M110" s="344"/>
      <c r="N110" s="344"/>
      <c r="O110" s="344"/>
      <c r="P110" s="344"/>
      <c r="Q110" s="344"/>
      <c r="R110" s="344"/>
      <c r="S110" s="344"/>
      <c r="T110" s="344"/>
      <c r="U110" s="344"/>
      <c r="V110" s="344"/>
    </row>
    <row r="111" spans="1:22" s="347" customFormat="1">
      <c r="A111" s="344"/>
      <c r="B111" s="344"/>
      <c r="C111" s="344"/>
      <c r="D111" s="344"/>
      <c r="E111" s="344"/>
      <c r="F111" s="344"/>
      <c r="G111" s="344"/>
      <c r="H111" s="344"/>
      <c r="I111" s="344"/>
      <c r="J111" s="344"/>
      <c r="K111" s="344"/>
      <c r="L111" s="360"/>
      <c r="M111" s="344"/>
      <c r="N111" s="344"/>
      <c r="O111" s="344"/>
      <c r="P111" s="344"/>
      <c r="Q111" s="344"/>
      <c r="R111" s="344"/>
      <c r="S111" s="344"/>
      <c r="T111" s="344"/>
      <c r="U111" s="344"/>
      <c r="V111" s="344"/>
    </row>
    <row r="112" spans="1:22" s="347" customFormat="1">
      <c r="A112" s="344"/>
      <c r="B112" s="344"/>
      <c r="C112" s="344"/>
      <c r="D112" s="344"/>
      <c r="E112" s="344"/>
      <c r="F112" s="344"/>
      <c r="G112" s="344"/>
      <c r="H112" s="344"/>
      <c r="I112" s="344"/>
      <c r="J112" s="344"/>
      <c r="K112" s="344"/>
      <c r="L112" s="360"/>
      <c r="M112" s="344"/>
      <c r="N112" s="344"/>
      <c r="O112" s="344"/>
      <c r="P112" s="344"/>
      <c r="Q112" s="344"/>
      <c r="R112" s="344"/>
      <c r="S112" s="344"/>
      <c r="T112" s="344"/>
      <c r="U112" s="344"/>
      <c r="V112" s="344"/>
    </row>
    <row r="113" spans="1:22" s="347" customFormat="1">
      <c r="A113" s="344"/>
      <c r="B113" s="344"/>
      <c r="C113" s="344"/>
      <c r="D113" s="344"/>
      <c r="E113" s="344"/>
      <c r="F113" s="344"/>
      <c r="G113" s="344"/>
      <c r="H113" s="344"/>
      <c r="I113" s="344"/>
      <c r="J113" s="344"/>
      <c r="K113" s="344"/>
      <c r="L113" s="360"/>
      <c r="M113" s="344"/>
      <c r="N113" s="344"/>
      <c r="O113" s="344"/>
      <c r="P113" s="344"/>
      <c r="Q113" s="344"/>
      <c r="R113" s="344"/>
      <c r="S113" s="344"/>
      <c r="T113" s="344"/>
      <c r="U113" s="344"/>
      <c r="V113" s="344"/>
    </row>
    <row r="114" spans="1:22" s="347" customFormat="1">
      <c r="A114" s="344"/>
      <c r="B114" s="344"/>
      <c r="C114" s="344"/>
      <c r="D114" s="344"/>
      <c r="E114" s="344"/>
      <c r="F114" s="344"/>
      <c r="G114" s="344"/>
      <c r="H114" s="344"/>
      <c r="I114" s="344"/>
      <c r="J114" s="344"/>
      <c r="K114" s="344"/>
      <c r="L114" s="360"/>
      <c r="M114" s="344"/>
      <c r="N114" s="344"/>
      <c r="O114" s="344"/>
      <c r="P114" s="344"/>
      <c r="Q114" s="344"/>
      <c r="R114" s="344"/>
      <c r="S114" s="344"/>
      <c r="T114" s="344"/>
      <c r="U114" s="344"/>
      <c r="V114" s="344"/>
    </row>
    <row r="115" spans="1:22" s="347" customFormat="1">
      <c r="A115" s="344"/>
      <c r="B115" s="344"/>
      <c r="C115" s="344"/>
      <c r="D115" s="344"/>
      <c r="E115" s="344"/>
      <c r="F115" s="344"/>
      <c r="G115" s="344"/>
      <c r="H115" s="344"/>
      <c r="I115" s="344"/>
      <c r="J115" s="344"/>
      <c r="K115" s="344"/>
      <c r="L115" s="360"/>
      <c r="M115" s="344"/>
      <c r="N115" s="344"/>
      <c r="O115" s="344"/>
      <c r="P115" s="344"/>
      <c r="Q115" s="344"/>
      <c r="R115" s="344"/>
      <c r="S115" s="344"/>
      <c r="T115" s="344"/>
      <c r="U115" s="344"/>
      <c r="V115" s="344"/>
    </row>
    <row r="116" spans="1:22" s="347" customFormat="1">
      <c r="A116" s="344"/>
      <c r="B116" s="344"/>
      <c r="C116" s="344"/>
      <c r="D116" s="344"/>
      <c r="E116" s="344"/>
      <c r="F116" s="344"/>
      <c r="G116" s="344"/>
      <c r="H116" s="344"/>
      <c r="I116" s="344"/>
      <c r="J116" s="344"/>
      <c r="K116" s="344"/>
      <c r="L116" s="360"/>
      <c r="M116" s="344"/>
      <c r="N116" s="344"/>
      <c r="O116" s="344"/>
      <c r="P116" s="344"/>
      <c r="Q116" s="344"/>
      <c r="R116" s="344"/>
      <c r="S116" s="344"/>
      <c r="T116" s="344"/>
      <c r="U116" s="344"/>
      <c r="V116" s="344"/>
    </row>
    <row r="117" spans="1:22" s="347" customFormat="1">
      <c r="A117" s="344"/>
      <c r="B117" s="344"/>
      <c r="C117" s="344"/>
      <c r="D117" s="344"/>
      <c r="E117" s="344"/>
      <c r="F117" s="344"/>
      <c r="G117" s="344"/>
      <c r="H117" s="344"/>
      <c r="I117" s="344"/>
      <c r="J117" s="344"/>
      <c r="K117" s="344"/>
      <c r="L117" s="360"/>
      <c r="M117" s="344"/>
      <c r="N117" s="344"/>
      <c r="O117" s="344"/>
      <c r="P117" s="344"/>
      <c r="Q117" s="344"/>
      <c r="R117" s="344"/>
      <c r="S117" s="344"/>
      <c r="T117" s="344"/>
      <c r="U117" s="344"/>
      <c r="V117" s="344"/>
    </row>
    <row r="118" spans="1:22" s="347" customFormat="1">
      <c r="A118" s="344"/>
      <c r="B118" s="344"/>
      <c r="C118" s="344"/>
      <c r="D118" s="344"/>
      <c r="E118" s="344"/>
      <c r="F118" s="344"/>
      <c r="G118" s="344"/>
      <c r="H118" s="344"/>
      <c r="I118" s="344"/>
      <c r="J118" s="344"/>
      <c r="K118" s="344"/>
      <c r="L118" s="360"/>
      <c r="M118" s="344"/>
      <c r="N118" s="344"/>
      <c r="O118" s="344"/>
      <c r="P118" s="344"/>
      <c r="Q118" s="344"/>
      <c r="R118" s="344"/>
      <c r="S118" s="344"/>
      <c r="T118" s="344"/>
      <c r="U118" s="344"/>
      <c r="V118" s="344"/>
    </row>
    <row r="119" spans="1:22" s="347" customFormat="1">
      <c r="A119" s="344"/>
      <c r="B119" s="344"/>
      <c r="C119" s="344"/>
      <c r="D119" s="344"/>
      <c r="E119" s="344"/>
      <c r="F119" s="344"/>
      <c r="G119" s="344"/>
      <c r="H119" s="344"/>
      <c r="I119" s="344"/>
      <c r="J119" s="344"/>
      <c r="K119" s="344"/>
      <c r="L119" s="360"/>
      <c r="M119" s="344"/>
      <c r="N119" s="344"/>
      <c r="O119" s="344"/>
      <c r="P119" s="344"/>
      <c r="Q119" s="344"/>
      <c r="R119" s="344"/>
      <c r="S119" s="344"/>
      <c r="T119" s="344"/>
      <c r="U119" s="344"/>
      <c r="V119" s="344"/>
    </row>
    <row r="120" spans="1:22" s="347" customFormat="1">
      <c r="A120" s="344"/>
      <c r="B120" s="344"/>
      <c r="C120" s="344"/>
      <c r="D120" s="344"/>
      <c r="E120" s="344"/>
      <c r="F120" s="344"/>
      <c r="G120" s="344"/>
      <c r="H120" s="344"/>
      <c r="I120" s="344"/>
      <c r="J120" s="344"/>
      <c r="K120" s="344"/>
      <c r="L120" s="360"/>
      <c r="M120" s="344"/>
      <c r="N120" s="344"/>
      <c r="O120" s="344"/>
      <c r="P120" s="344"/>
      <c r="Q120" s="344"/>
      <c r="R120" s="344"/>
      <c r="S120" s="344"/>
      <c r="T120" s="344"/>
      <c r="U120" s="344"/>
      <c r="V120" s="344"/>
    </row>
    <row r="121" spans="1:22" s="347" customFormat="1">
      <c r="A121" s="344"/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60"/>
      <c r="M121" s="344"/>
      <c r="N121" s="344"/>
      <c r="O121" s="344"/>
      <c r="P121" s="344"/>
      <c r="Q121" s="344"/>
      <c r="R121" s="344"/>
      <c r="S121" s="344"/>
      <c r="T121" s="344"/>
      <c r="U121" s="344"/>
      <c r="V121" s="344"/>
    </row>
    <row r="122" spans="1:22" s="347" customFormat="1">
      <c r="A122" s="344"/>
      <c r="B122" s="344"/>
      <c r="C122" s="344"/>
      <c r="D122" s="344"/>
      <c r="E122" s="344"/>
      <c r="F122" s="344"/>
      <c r="G122" s="344"/>
      <c r="H122" s="344"/>
      <c r="I122" s="344"/>
      <c r="J122" s="344"/>
      <c r="K122" s="344"/>
      <c r="L122" s="360"/>
      <c r="M122" s="344"/>
      <c r="N122" s="344"/>
      <c r="O122" s="344"/>
      <c r="P122" s="344"/>
      <c r="Q122" s="344"/>
      <c r="R122" s="344"/>
      <c r="S122" s="344"/>
      <c r="T122" s="344"/>
      <c r="U122" s="344"/>
      <c r="V122" s="344"/>
    </row>
    <row r="123" spans="1:22" s="347" customFormat="1">
      <c r="A123" s="344"/>
      <c r="B123" s="344"/>
      <c r="C123" s="344"/>
      <c r="D123" s="344"/>
      <c r="E123" s="344"/>
      <c r="F123" s="344"/>
      <c r="G123" s="344"/>
      <c r="H123" s="344"/>
      <c r="I123" s="344"/>
      <c r="J123" s="344"/>
      <c r="K123" s="344"/>
      <c r="L123" s="360"/>
      <c r="M123" s="344"/>
      <c r="N123" s="344"/>
      <c r="O123" s="344"/>
      <c r="P123" s="344"/>
      <c r="Q123" s="344"/>
      <c r="R123" s="344"/>
      <c r="S123" s="344"/>
      <c r="T123" s="344"/>
      <c r="U123" s="344"/>
      <c r="V123" s="344"/>
    </row>
    <row r="124" spans="1:22" s="347" customFormat="1">
      <c r="A124" s="344"/>
      <c r="B124" s="344"/>
      <c r="C124" s="344"/>
      <c r="D124" s="344"/>
      <c r="E124" s="344"/>
      <c r="F124" s="344"/>
      <c r="G124" s="344"/>
      <c r="H124" s="344"/>
      <c r="I124" s="344"/>
      <c r="J124" s="344"/>
      <c r="K124" s="344"/>
      <c r="L124" s="360"/>
      <c r="M124" s="344"/>
      <c r="N124" s="344"/>
      <c r="O124" s="344"/>
      <c r="P124" s="344"/>
      <c r="Q124" s="344"/>
      <c r="R124" s="344"/>
      <c r="S124" s="344"/>
      <c r="T124" s="344"/>
      <c r="U124" s="344"/>
      <c r="V124" s="344"/>
    </row>
    <row r="125" spans="1:22" s="347" customFormat="1">
      <c r="A125" s="344"/>
      <c r="B125" s="344"/>
      <c r="C125" s="344"/>
      <c r="D125" s="344"/>
      <c r="E125" s="344"/>
      <c r="F125" s="344"/>
      <c r="G125" s="344"/>
      <c r="H125" s="344"/>
      <c r="I125" s="344"/>
      <c r="J125" s="344"/>
      <c r="K125" s="344"/>
      <c r="L125" s="360"/>
      <c r="M125" s="344"/>
      <c r="N125" s="344"/>
      <c r="O125" s="344"/>
      <c r="P125" s="344"/>
      <c r="Q125" s="344"/>
      <c r="R125" s="344"/>
      <c r="S125" s="344"/>
      <c r="T125" s="344"/>
      <c r="U125" s="344"/>
      <c r="V125" s="344"/>
    </row>
    <row r="126" spans="1:22" s="347" customFormat="1">
      <c r="A126" s="344"/>
      <c r="B126" s="344"/>
      <c r="C126" s="344"/>
      <c r="D126" s="344"/>
      <c r="E126" s="344"/>
      <c r="F126" s="344"/>
      <c r="G126" s="344"/>
      <c r="H126" s="344"/>
      <c r="I126" s="344"/>
      <c r="J126" s="344"/>
      <c r="K126" s="344"/>
      <c r="L126" s="360"/>
      <c r="M126" s="344"/>
      <c r="N126" s="344"/>
      <c r="O126" s="344"/>
      <c r="P126" s="344"/>
      <c r="Q126" s="344"/>
      <c r="R126" s="344"/>
      <c r="S126" s="344"/>
      <c r="T126" s="344"/>
      <c r="U126" s="344"/>
      <c r="V126" s="344"/>
    </row>
    <row r="127" spans="1:22" s="347" customFormat="1">
      <c r="A127" s="344"/>
      <c r="B127" s="344"/>
      <c r="C127" s="344"/>
      <c r="D127" s="344"/>
      <c r="E127" s="344"/>
      <c r="F127" s="344"/>
      <c r="G127" s="344"/>
      <c r="H127" s="344"/>
      <c r="I127" s="344"/>
      <c r="J127" s="344"/>
      <c r="K127" s="344"/>
      <c r="L127" s="360"/>
      <c r="M127" s="344"/>
      <c r="N127" s="344"/>
      <c r="O127" s="344"/>
      <c r="P127" s="344"/>
      <c r="Q127" s="344"/>
      <c r="R127" s="344"/>
      <c r="S127" s="344"/>
      <c r="T127" s="344"/>
      <c r="U127" s="344"/>
      <c r="V127" s="344"/>
    </row>
    <row r="128" spans="1:22" s="347" customFormat="1">
      <c r="A128" s="344"/>
      <c r="B128" s="344"/>
      <c r="C128" s="344"/>
      <c r="D128" s="344"/>
      <c r="E128" s="344"/>
      <c r="F128" s="344"/>
      <c r="G128" s="344"/>
      <c r="H128" s="344"/>
      <c r="I128" s="344"/>
      <c r="J128" s="344"/>
      <c r="K128" s="344"/>
      <c r="L128" s="360"/>
      <c r="M128" s="344"/>
      <c r="N128" s="344"/>
      <c r="O128" s="344"/>
      <c r="P128" s="344"/>
      <c r="Q128" s="344"/>
      <c r="R128" s="344"/>
      <c r="S128" s="344"/>
      <c r="T128" s="344"/>
      <c r="U128" s="344"/>
      <c r="V128" s="344"/>
    </row>
    <row r="129" spans="1:22" s="347" customFormat="1">
      <c r="A129" s="344"/>
      <c r="B129" s="344"/>
      <c r="C129" s="344"/>
      <c r="D129" s="344"/>
      <c r="E129" s="344"/>
      <c r="F129" s="344"/>
      <c r="G129" s="344"/>
      <c r="H129" s="344"/>
      <c r="I129" s="344"/>
      <c r="J129" s="344"/>
      <c r="K129" s="344"/>
      <c r="L129" s="360"/>
      <c r="M129" s="344"/>
      <c r="N129" s="344"/>
      <c r="O129" s="344"/>
      <c r="P129" s="344"/>
      <c r="Q129" s="344"/>
      <c r="R129" s="344"/>
      <c r="S129" s="344"/>
      <c r="T129" s="344"/>
      <c r="U129" s="344"/>
      <c r="V129" s="344"/>
    </row>
    <row r="2374" spans="6:6">
      <c r="F2374" s="344" t="s">
        <v>2348</v>
      </c>
    </row>
    <row r="2375" spans="6:6" ht="13.2">
      <c r="F2375" s="386" t="s">
        <v>2338</v>
      </c>
    </row>
    <row r="2376" spans="6:6" ht="13.2">
      <c r="F2376" s="386" t="s">
        <v>2242</v>
      </c>
    </row>
    <row r="2377" spans="6:6" ht="13.2">
      <c r="F2377" s="386" t="s">
        <v>2281</v>
      </c>
    </row>
    <row r="2378" spans="6:6" ht="13.2">
      <c r="F2378" s="386" t="s">
        <v>2241</v>
      </c>
    </row>
    <row r="2379" spans="6:6" ht="13.2">
      <c r="F2379" s="386" t="s">
        <v>2311</v>
      </c>
    </row>
    <row r="2380" spans="6:6" ht="13.2">
      <c r="F2380" s="386" t="s">
        <v>2298</v>
      </c>
    </row>
    <row r="2381" spans="6:6" ht="13.2">
      <c r="F2381" s="386" t="s">
        <v>2330</v>
      </c>
    </row>
    <row r="2382" spans="6:6" ht="13.2">
      <c r="F2382" s="386" t="s">
        <v>2240</v>
      </c>
    </row>
    <row r="2383" spans="6:6" ht="13.2">
      <c r="F2383" s="386" t="s">
        <v>2336</v>
      </c>
    </row>
    <row r="2384" spans="6:6" ht="13.2">
      <c r="F2384" s="386" t="s">
        <v>2233</v>
      </c>
    </row>
    <row r="2385" spans="6:6" ht="13.2">
      <c r="F2385" s="386" t="s">
        <v>2210</v>
      </c>
    </row>
    <row r="2386" spans="6:6" ht="13.2">
      <c r="F2386" s="386" t="s">
        <v>2278</v>
      </c>
    </row>
    <row r="2387" spans="6:6" ht="13.2">
      <c r="F2387" s="386" t="s">
        <v>2329</v>
      </c>
    </row>
    <row r="2388" spans="6:6" ht="13.2">
      <c r="F2388" s="386" t="s">
        <v>2339</v>
      </c>
    </row>
    <row r="2389" spans="6:6" ht="13.2">
      <c r="F2389" s="386" t="s">
        <v>2221</v>
      </c>
    </row>
    <row r="2390" spans="6:6" ht="13.2">
      <c r="F2390" s="386" t="s">
        <v>2238</v>
      </c>
    </row>
    <row r="2391" spans="6:6" ht="13.2">
      <c r="F2391" s="386" t="s">
        <v>2340</v>
      </c>
    </row>
    <row r="2392" spans="6:6" ht="13.2">
      <c r="F2392" s="386" t="s">
        <v>2322</v>
      </c>
    </row>
    <row r="2393" spans="6:6" ht="13.2">
      <c r="F2393" s="386" t="s">
        <v>2341</v>
      </c>
    </row>
    <row r="2394" spans="6:6" ht="13.2">
      <c r="F2394" s="386" t="s">
        <v>2333</v>
      </c>
    </row>
    <row r="2395" spans="6:6" ht="13.2">
      <c r="F2395" s="386" t="s">
        <v>2279</v>
      </c>
    </row>
    <row r="2396" spans="6:6" ht="13.2">
      <c r="F2396" s="386" t="s">
        <v>2225</v>
      </c>
    </row>
    <row r="2397" spans="6:6" ht="13.2">
      <c r="F2397" s="386" t="s">
        <v>2335</v>
      </c>
    </row>
    <row r="2398" spans="6:6" ht="13.2">
      <c r="F2398" s="386" t="s">
        <v>2332</v>
      </c>
    </row>
    <row r="2399" spans="6:6" ht="13.2">
      <c r="F2399" s="386" t="s">
        <v>2280</v>
      </c>
    </row>
    <row r="2400" spans="6:6" ht="13.2">
      <c r="F2400" s="386" t="s">
        <v>2223</v>
      </c>
    </row>
    <row r="2401" spans="6:6" ht="13.2">
      <c r="F2401" s="386" t="s">
        <v>2239</v>
      </c>
    </row>
    <row r="2402" spans="6:6" ht="13.2">
      <c r="F2402" s="386" t="s">
        <v>2237</v>
      </c>
    </row>
    <row r="2403" spans="6:6" ht="13.2">
      <c r="F2403" s="386" t="s">
        <v>2337</v>
      </c>
    </row>
    <row r="2404" spans="6:6" ht="13.2">
      <c r="F2404" s="386" t="s">
        <v>2236</v>
      </c>
    </row>
    <row r="2405" spans="6:6" ht="13.2">
      <c r="F2405" s="386" t="s">
        <v>2224</v>
      </c>
    </row>
    <row r="2406" spans="6:6" ht="13.2">
      <c r="F2406" s="386" t="s">
        <v>2334</v>
      </c>
    </row>
    <row r="2407" spans="6:6" ht="13.2">
      <c r="F2407" s="386" t="s">
        <v>2344</v>
      </c>
    </row>
    <row r="2408" spans="6:6" ht="13.2">
      <c r="F2408" s="386" t="s">
        <v>2288</v>
      </c>
    </row>
    <row r="2409" spans="6:6" ht="13.2">
      <c r="F2409" s="386" t="s">
        <v>2342</v>
      </c>
    </row>
    <row r="2410" spans="6:6" ht="13.2">
      <c r="F2410" s="386" t="s">
        <v>2343</v>
      </c>
    </row>
    <row r="2411" spans="6:6" ht="13.2">
      <c r="F2411" s="386" t="s">
        <v>2331</v>
      </c>
    </row>
  </sheetData>
  <mergeCells count="3">
    <mergeCell ref="C19:F19"/>
    <mergeCell ref="G19:J19"/>
    <mergeCell ref="A28:E28"/>
  </mergeCells>
  <conditionalFormatting sqref="A5:W16">
    <cfRule type="expression" dxfId="386" priority="1">
      <formula>$B5="Wyłączony z obrotu"</formula>
    </cfRule>
    <cfRule type="expression" dxfId="385" priority="2">
      <formula>$B5="Całkowita masa odpadów"</formula>
    </cfRule>
    <cfRule type="expression" dxfId="384" priority="35">
      <formula>$B5="Wybrany strumień odpadu"</formula>
    </cfRule>
    <cfRule type="expression" dxfId="383" priority="36">
      <formula>$C5="Dzierżawa"</formula>
    </cfRule>
    <cfRule type="expression" dxfId="382" priority="37">
      <formula>$C5="Zakup"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7" r:id="rId4" name="ryczałt_G">
          <controlPr defaultSize="0" autoLine="0" r:id="rId5">
            <anchor moveWithCells="1" sizeWithCells="1">
              <from>
                <xdr:col>5</xdr:col>
                <xdr:colOff>60960</xdr:colOff>
                <xdr:row>28</xdr:row>
                <xdr:rowOff>83820</xdr:rowOff>
              </from>
              <to>
                <xdr:col>5</xdr:col>
                <xdr:colOff>1021080</xdr:colOff>
                <xdr:row>28</xdr:row>
                <xdr:rowOff>571500</xdr:rowOff>
              </to>
            </anchor>
          </controlPr>
        </control>
      </mc:Choice>
      <mc:Fallback>
        <control shapeId="3087" r:id="rId4" name="ryczałt_G"/>
      </mc:Fallback>
    </mc:AlternateContent>
    <mc:AlternateContent xmlns:mc="http://schemas.openxmlformats.org/markup-compatibility/2006">
      <mc:Choice Requires="x14">
        <control shapeId="3094" r:id="rId6" name="Oblicz">
          <controlPr defaultSize="0" autoLine="0" r:id="rId7">
            <anchor moveWithCells="1" sizeWithCells="1">
              <from>
                <xdr:col>14</xdr:col>
                <xdr:colOff>228600</xdr:colOff>
                <xdr:row>0</xdr:row>
                <xdr:rowOff>30480</xdr:rowOff>
              </from>
              <to>
                <xdr:col>14</xdr:col>
                <xdr:colOff>952500</xdr:colOff>
                <xdr:row>2</xdr:row>
                <xdr:rowOff>121920</xdr:rowOff>
              </to>
            </anchor>
          </controlPr>
        </control>
      </mc:Choice>
      <mc:Fallback>
        <control shapeId="3094" r:id="rId6" name="Oblicz"/>
      </mc:Fallback>
    </mc:AlternateContent>
  </controls>
  <tableParts count="3">
    <tablePart r:id="rId8"/>
    <tablePart r:id="rId9"/>
    <tablePart r:id="rId10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>
          <x14:formula1>
            <xm:f>Listy_rozwijane!$W$2:$W$38</xm:f>
          </x14:formula1>
          <xm:sqref>D5:D16</xm:sqref>
        </x14:dataValidation>
        <x14:dataValidation type="list" allowBlank="1" showInputMessage="1" showErrorMessage="1">
          <x14:formula1>
            <xm:f>Listy_rozwijane!$I$20:$I$24</xm:f>
          </x14:formula1>
          <xm:sqref>H5:H16</xm:sqref>
        </x14:dataValidation>
        <x14:dataValidation type="list" allowBlank="1" showInputMessage="1" showErrorMessage="1">
          <x14:formula1>
            <xm:f>Listy_rozwijane!$M$9:$M$12</xm:f>
          </x14:formula1>
          <xm:sqref>B5:B16</xm:sqref>
        </x14:dataValidation>
        <x14:dataValidation type="list" allowBlank="1" showInputMessage="1" showErrorMessage="1">
          <x14:formula1>
            <xm:f>Listy_rozwijane!$M$15:$M$17</xm:f>
          </x14:formula1>
          <xm:sqref>C5:C16</xm:sqref>
        </x14:dataValidation>
        <x14:dataValidation type="list" allowBlank="1" showInputMessage="1" showErrorMessage="1">
          <x14:formula1>
            <xm:f>Listy_rozwijane!$I$29:$I$31</xm:f>
          </x14:formula1>
          <xm:sqref>L5:L16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8">
    <tabColor rgb="FF8ACC45"/>
  </sheetPr>
  <dimension ref="A1:AJ223"/>
  <sheetViews>
    <sheetView zoomScale="50" zoomScaleNormal="50" workbookViewId="0">
      <selection activeCell="M37" sqref="M37"/>
    </sheetView>
  </sheetViews>
  <sheetFormatPr defaultColWidth="9.109375" defaultRowHeight="13.2"/>
  <cols>
    <col min="1" max="1" width="5.6640625" style="74" bestFit="1" customWidth="1"/>
    <col min="2" max="2" width="17.88671875" style="74" customWidth="1"/>
    <col min="3" max="3" width="17" style="74" customWidth="1"/>
    <col min="4" max="4" width="18.5546875" style="74" customWidth="1"/>
    <col min="5" max="5" width="17.44140625" style="74" customWidth="1"/>
    <col min="6" max="6" width="15.109375" style="74" customWidth="1"/>
    <col min="7" max="7" width="13.33203125" style="74" bestFit="1" customWidth="1"/>
    <col min="8" max="8" width="13" style="74" customWidth="1"/>
    <col min="9" max="9" width="13.109375" style="74" bestFit="1" customWidth="1"/>
    <col min="10" max="10" width="14.109375" style="74" bestFit="1" customWidth="1"/>
    <col min="11" max="11" width="3.33203125" style="74" hidden="1" customWidth="1"/>
    <col min="12" max="13" width="13" style="75" customWidth="1"/>
    <col min="14" max="14" width="13" style="68" customWidth="1"/>
    <col min="15" max="15" width="15.33203125" style="68" customWidth="1"/>
    <col min="16" max="16" width="3.5546875" style="68" hidden="1" customWidth="1"/>
    <col min="17" max="17" width="15" style="68" customWidth="1"/>
    <col min="18" max="18" width="15.88671875" style="68" customWidth="1"/>
    <col min="19" max="19" width="15.109375" style="68" customWidth="1"/>
    <col min="20" max="20" width="11.6640625" style="69" bestFit="1" customWidth="1"/>
    <col min="21" max="21" width="11.5546875" style="68" bestFit="1" customWidth="1"/>
    <col min="22" max="22" width="12.44140625" style="68" bestFit="1" customWidth="1"/>
    <col min="23" max="23" width="2" style="68" customWidth="1"/>
    <col min="24" max="24" width="3.109375" style="68" bestFit="1" customWidth="1"/>
    <col min="25" max="25" width="18.88671875" style="68" bestFit="1" customWidth="1"/>
    <col min="26" max="26" width="13.88671875" style="68" bestFit="1" customWidth="1"/>
    <col min="27" max="27" width="6.109375" style="68" bestFit="1" customWidth="1"/>
    <col min="28" max="28" width="7.6640625" style="68" bestFit="1" customWidth="1"/>
    <col min="29" max="29" width="8" style="68" bestFit="1" customWidth="1"/>
    <col min="30" max="30" width="9.6640625" style="68" bestFit="1" customWidth="1"/>
    <col min="31" max="31" width="10" style="68" bestFit="1" customWidth="1"/>
    <col min="32" max="32" width="11.44140625" style="68" bestFit="1" customWidth="1"/>
    <col min="33" max="33" width="12.33203125" style="68" bestFit="1" customWidth="1"/>
    <col min="34" max="34" width="12.44140625" style="68" bestFit="1" customWidth="1"/>
    <col min="35" max="35" width="9.109375" style="68"/>
    <col min="36" max="36" width="25.109375" style="68" customWidth="1"/>
    <col min="37" max="16384" width="9.109375" style="68"/>
  </cols>
  <sheetData>
    <row r="1" spans="1:36" s="347" customFormat="1">
      <c r="A1" s="344"/>
      <c r="B1" s="344"/>
      <c r="C1" s="344"/>
      <c r="D1" s="344"/>
      <c r="E1" s="344"/>
      <c r="F1" s="344"/>
      <c r="G1" s="344"/>
      <c r="H1" s="344"/>
      <c r="I1" s="344"/>
      <c r="J1" s="344"/>
      <c r="K1" s="344"/>
      <c r="L1" s="685" t="s">
        <v>2471</v>
      </c>
      <c r="M1" s="686"/>
      <c r="N1" s="687">
        <v>0.1</v>
      </c>
      <c r="O1" s="688"/>
      <c r="T1" s="132"/>
    </row>
    <row r="2" spans="1:36" s="347" customFormat="1">
      <c r="A2" s="344"/>
      <c r="B2" s="344"/>
      <c r="C2" s="344"/>
      <c r="D2" s="344"/>
      <c r="E2" s="344"/>
      <c r="F2" s="344"/>
      <c r="G2" s="344"/>
      <c r="H2" s="344"/>
      <c r="I2" s="344"/>
      <c r="J2" s="344"/>
      <c r="K2" s="344"/>
      <c r="L2" s="685" t="s">
        <v>2472</v>
      </c>
      <c r="M2" s="686"/>
      <c r="N2" s="687">
        <v>0.2024</v>
      </c>
      <c r="O2" s="688"/>
      <c r="T2" s="132"/>
    </row>
    <row r="3" spans="1:36" s="354" customFormat="1" ht="17.399999999999999">
      <c r="A3" s="351"/>
      <c r="B3" s="351"/>
      <c r="C3" s="391"/>
      <c r="E3" s="351"/>
      <c r="F3" s="351"/>
      <c r="G3" s="392"/>
      <c r="H3" s="392"/>
      <c r="L3" s="683" t="s">
        <v>2249</v>
      </c>
      <c r="M3" s="683"/>
      <c r="N3" s="683"/>
      <c r="O3" s="683"/>
      <c r="P3" s="347"/>
      <c r="R3" s="351"/>
      <c r="AH3" s="347"/>
    </row>
    <row r="4" spans="1:36" s="389" customFormat="1" ht="90">
      <c r="A4" s="518" t="s">
        <v>1025</v>
      </c>
      <c r="B4" s="518" t="s">
        <v>2467</v>
      </c>
      <c r="C4" s="518" t="s">
        <v>2469</v>
      </c>
      <c r="D4" s="518" t="s">
        <v>2164</v>
      </c>
      <c r="E4" s="518" t="s">
        <v>2167</v>
      </c>
      <c r="F4" s="518" t="s">
        <v>2530</v>
      </c>
      <c r="G4" s="518" t="s">
        <v>2460</v>
      </c>
      <c r="H4" s="518" t="s">
        <v>2461</v>
      </c>
      <c r="I4" s="518" t="s">
        <v>2462</v>
      </c>
      <c r="J4" s="573" t="s">
        <v>2463</v>
      </c>
      <c r="K4" s="388" t="s">
        <v>2199</v>
      </c>
      <c r="L4" s="518" t="s">
        <v>2497</v>
      </c>
      <c r="M4" s="518" t="s">
        <v>2473</v>
      </c>
      <c r="N4" s="518" t="s">
        <v>1928</v>
      </c>
      <c r="O4" s="518" t="s">
        <v>2474</v>
      </c>
      <c r="P4" s="387" t="s">
        <v>2200</v>
      </c>
      <c r="Q4" s="518" t="s">
        <v>2475</v>
      </c>
      <c r="R4" s="518" t="s">
        <v>2165</v>
      </c>
      <c r="S4" s="518" t="s">
        <v>2166</v>
      </c>
      <c r="T4" s="518" t="s">
        <v>2507</v>
      </c>
      <c r="U4" s="518" t="s">
        <v>1007</v>
      </c>
      <c r="V4" s="518" t="s">
        <v>2465</v>
      </c>
    </row>
    <row r="5" spans="1:36" s="390" customFormat="1" ht="15">
      <c r="A5" s="574">
        <f t="shared" ref="A5:A11" si="0">ROW()-4</f>
        <v>1</v>
      </c>
      <c r="B5" s="574"/>
      <c r="C5" s="575"/>
      <c r="D5" s="576"/>
      <c r="E5" s="577"/>
      <c r="F5" s="578"/>
      <c r="G5" s="578"/>
      <c r="H5" s="578"/>
      <c r="I5" s="578"/>
      <c r="J5" s="578" t="str">
        <f>IFERROR(Tabela15[[#Totals],[Koszt miesięczny
'[zł/msc']]]/Obsluga_ludzie[[#Totals],[Ilość osób]]*Obsluga_ludzie[[#This Row],[Ilość osób]],"")</f>
        <v/>
      </c>
      <c r="K5" s="578"/>
      <c r="L5" s="579" t="str">
        <f>IF(Obsluga_ludzie[[#This Row],[ Zatrudnienie przez:
'[SUEZ/Agencja/Klient']]]="SUEZ",IF(Obsluga_ludzie[[#This Row],[Jednostka
 (kosztu wynagrodzenia)]]="zł/msc",Obsluga_ludzie[[#This Row],[Koszt wynagrodzenia]]*$N$1,IF(Obsluga_ludzie[[#This Row],[Jednostka
 (kosztu wynagrodzenia)]]="zł/rbh",(Obsluga_ludzie[[#This Row],[Koszt wynagrodzenia]]*Obsluga_ludzie[[#This Row],[Ilość godzin pracy w miesiącu
'[rbh/msc/os.']]])*$N$1,"")),"")</f>
        <v/>
      </c>
      <c r="M5" s="578" t="str">
        <f>IF(Obsluga_ludzie[[#This Row],[ Zatrudnienie przez:
'[SUEZ/Agencja/Klient']]]="SUEZ",IF(Obsluga_ludzie[[#This Row],[Jednostka
 (kosztu wynagrodzenia)]]="zł/msc",(Obsluga_ludzie[[#This Row],[Koszt wynagrodzenia]]+Obsluga_ludzie[[#This Row],[Premia
'[zł/m-c']]])*$N$2,IF(Obsluga_ludzie[[#This Row],[Jednostka
 (kosztu wynagrodzenia)]]="zł/rbh",((Obsluga_ludzie[[#This Row],[Koszt wynagrodzenia]]*Obsluga_ludzie[[#This Row],[Ilość godzin pracy w miesiącu
'[rbh/msc/os.']]])+Obsluga_ludzie[[#This Row],[Premia
'[zł/m-c']]])*$N$2,"")),"")</f>
        <v/>
      </c>
      <c r="N5" s="577" t="str">
        <f>IF(Obsluga_ludzie[[#This Row],[ Zatrudnienie przez:
'[SUEZ/Agencja/Klient']]]="SUEZ",100,"")</f>
        <v/>
      </c>
      <c r="O5" s="578">
        <f>IF(Obsluga_ludzie[[#This Row],[ Zatrudnienie przez:
'[SUEZ/Agencja/Klient']]]="SUEZ",IF(Obsluga_ludzie[[#This Row],[Jednostka
 (kosztu wynagrodzenia)]]="zł/msc",Obsluga_ludzie[[#This Row],[Koszty Inne
'[zł/msc']]]+Obsluga_ludzie[[#This Row],[Dodatkowe koszty pracownicze
'[zł/msc']]]+Obsluga_ludzie[[#This Row],[Koszt wynagrodzenia]]+Obsluga_ludzie[[#This Row],[Premia
'[zł/m-c']]]+Obsluga_ludzie[[#This Row],[ZUS  na jednego pracownika
'[zł/m-c']]]+Obsluga_ludzie[[#This Row],[Fundusz socjalny (odpis)
'[zł/m-c']]],IF(Obsluga_ludzie[[#This Row],[Jednostka
 (kosztu wynagrodzenia)]]="zł/rbh",(Obsluga_ludzie[[#This Row],[Koszt wynagrodzenia]]*Obsluga_ludzie[[#This Row],[Ilość godzin pracy w miesiącu
'[rbh/msc/os.']]])+Obsluga_ludzie[[#This Row],[Premia
'[zł/m-c']]]+Obsluga_ludzie[[#This Row],[ZUS  na jednego pracownika
'[zł/m-c']]]+Obsluga_ludzie[[#This Row],[Fundusz socjalny (odpis)
'[zł/m-c']]]+Obsluga_ludzie[[#This Row],[Dodatkowe koszty pracownicze
'[zł/msc']]]+Obsluga_ludzie[[#This Row],[Koszty Inne
'[zł/msc']]],0)),0)</f>
        <v>0</v>
      </c>
      <c r="P5" s="578"/>
      <c r="Q5" s="578">
        <f>IFERROR(IF(Obsluga_ludzie[[#This Row],[ Zatrudnienie przez:
'[SUEZ/Agencja/Klient']]]&lt;&gt;"SUEZ",IF(Obsluga_ludzie[[#This Row],[Jednostka
 (kosztu wynagrodzenia)]]="zł/msc",Obsluga_ludzie[[#This Row],[Koszt wynagrodzenia]]+Obsluga_ludzie[[#This Row],[Koszty Inne
'[zł/msc']]]+Obsluga_ludzie[[#This Row],[Dodatkowe koszty pracownicze
'[zł/msc']]],(Obsluga_ludzie[[#This Row],[Koszt wynagrodzenia]]*Obsluga_ludzie[[#This Row],[Ilość godzin pracy w miesiącu
'[rbh/msc/os.']]])+Obsluga_ludzie[[#This Row],[Koszty Inne
'[zł/msc']]]+Obsluga_ludzie[[#This Row],[Dodatkowe koszty pracownicze
'[zł/msc']]]),0),0)</f>
        <v>0</v>
      </c>
      <c r="R5" s="578">
        <f>IF(Obsluga_ludzie[[#This Row],[ Zatrudnienie przez:
'[SUEZ/Agencja/Klient']]]="SUEZ",Obsluga_ludzie[[#This Row],[Całkowity koszt jednego pracownika
'[zł/m-c']
SUEZ]]*Obsluga_ludzie[[#This Row],[Ilość osób]],Obsluga_ludzie[[#This Row],[Całkowity koszt jednego pracownika
'[zł/m-c']
AGENCJA]]*Obsluga_ludzie[[#This Row],[Ilość osób]])</f>
        <v>0</v>
      </c>
      <c r="S5" s="578">
        <f>IFERROR(Obsluga_ludzie[[#This Row],[Koszt miesięczny CAŁKOWITY wszystkich pracowników
'[zł/msc']]]*12,0)</f>
        <v>0</v>
      </c>
      <c r="T5" s="578" t="str">
        <f>IF(Obsluga_ludzie[[#This Row],[Koszt w przeliczeniu na:]]="Całkowita masa odpadów",Obsluga_ludzie[[#This Row],[Koszt roczny CAŁKOWITY wszystkich pracowników
'[zł/rok']]]/Kalkulacja[[#Totals],[Szacunkowa ilość odpadu /rok]],"Ryczałt")</f>
        <v>Ryczałt</v>
      </c>
      <c r="U5" s="580"/>
      <c r="V5" s="581"/>
      <c r="AI5" s="389"/>
      <c r="AJ5" s="389"/>
    </row>
    <row r="6" spans="1:36" s="390" customFormat="1" ht="15">
      <c r="A6" s="582">
        <f t="shared" si="0"/>
        <v>2</v>
      </c>
      <c r="B6" s="582"/>
      <c r="C6" s="561"/>
      <c r="D6" s="576"/>
      <c r="E6" s="583"/>
      <c r="F6" s="579"/>
      <c r="G6" s="579"/>
      <c r="H6" s="579"/>
      <c r="I6" s="579"/>
      <c r="J6" s="579" t="str">
        <f>IFERROR(Tabela15[[#Totals],[Koszt miesięczny
'[zł/msc']]]/Obsluga_ludzie[[#Totals],[Ilość osób]]*Obsluga_ludzie[[#This Row],[Ilość osób]],"")</f>
        <v/>
      </c>
      <c r="K6" s="579"/>
      <c r="L6" s="579" t="str">
        <f>IF(Obsluga_ludzie[[#This Row],[ Zatrudnienie przez:
'[SUEZ/Agencja/Klient']]]="SUEZ",IF(Obsluga_ludzie[[#This Row],[Jednostka
 (kosztu wynagrodzenia)]]="zł/msc",Obsluga_ludzie[[#This Row],[Koszt wynagrodzenia]]*$N$1,IF(Obsluga_ludzie[[#This Row],[Jednostka
 (kosztu wynagrodzenia)]]="zł/rbh",(Obsluga_ludzie[[#This Row],[Koszt wynagrodzenia]]*Obsluga_ludzie[[#This Row],[Ilość godzin pracy w miesiącu
'[rbh/msc/os.']]])*$N$1,"")),"")</f>
        <v/>
      </c>
      <c r="M6" s="579" t="str">
        <f>IF(Obsluga_ludzie[[#This Row],[ Zatrudnienie przez:
'[SUEZ/Agencja/Klient']]]="SUEZ",IF(Obsluga_ludzie[[#This Row],[Jednostka
 (kosztu wynagrodzenia)]]="zł/msc",(Obsluga_ludzie[[#This Row],[Koszt wynagrodzenia]]+Obsluga_ludzie[[#This Row],[Premia
'[zł/m-c']]])*$N$2,IF(Obsluga_ludzie[[#This Row],[Jednostka
 (kosztu wynagrodzenia)]]="zł/rbh",((Obsluga_ludzie[[#This Row],[Koszt wynagrodzenia]]*Obsluga_ludzie[[#This Row],[Ilość godzin pracy w miesiącu
'[rbh/msc/os.']]])+Obsluga_ludzie[[#This Row],[Premia
'[zł/m-c']]])*$N$2,"")),"")</f>
        <v/>
      </c>
      <c r="N6" s="583" t="str">
        <f>IF(Obsluga_ludzie[[#This Row],[ Zatrudnienie przez:
'[SUEZ/Agencja/Klient']]]="SUEZ",100,"")</f>
        <v/>
      </c>
      <c r="O6" s="579">
        <f>IF(Obsluga_ludzie[[#This Row],[ Zatrudnienie przez:
'[SUEZ/Agencja/Klient']]]="SUEZ",IF(Obsluga_ludzie[[#This Row],[Jednostka
 (kosztu wynagrodzenia)]]="zł/msc",Obsluga_ludzie[[#This Row],[Koszty Inne
'[zł/msc']]]+Obsluga_ludzie[[#This Row],[Dodatkowe koszty pracownicze
'[zł/msc']]]+Obsluga_ludzie[[#This Row],[Koszt wynagrodzenia]]+Obsluga_ludzie[[#This Row],[Premia
'[zł/m-c']]]+Obsluga_ludzie[[#This Row],[ZUS  na jednego pracownika
'[zł/m-c']]]+Obsluga_ludzie[[#This Row],[Fundusz socjalny (odpis)
'[zł/m-c']]],IF(Obsluga_ludzie[[#This Row],[Jednostka
 (kosztu wynagrodzenia)]]="zł/rbh",(Obsluga_ludzie[[#This Row],[Koszt wynagrodzenia]]*Obsluga_ludzie[[#This Row],[Ilość godzin pracy w miesiącu
'[rbh/msc/os.']]])+Obsluga_ludzie[[#This Row],[Premia
'[zł/m-c']]]+Obsluga_ludzie[[#This Row],[ZUS  na jednego pracownika
'[zł/m-c']]]+Obsluga_ludzie[[#This Row],[Fundusz socjalny (odpis)
'[zł/m-c']]]+Obsluga_ludzie[[#This Row],[Dodatkowe koszty pracownicze
'[zł/msc']]]+Obsluga_ludzie[[#This Row],[Koszty Inne
'[zł/msc']]],0)),0)</f>
        <v>0</v>
      </c>
      <c r="P6" s="579"/>
      <c r="Q6" s="579">
        <f>IFERROR(IF(Obsluga_ludzie[[#This Row],[ Zatrudnienie przez:
'[SUEZ/Agencja/Klient']]]&lt;&gt;"SUEZ",IF(Obsluga_ludzie[[#This Row],[Jednostka
 (kosztu wynagrodzenia)]]="zł/msc",Obsluga_ludzie[[#This Row],[Koszt wynagrodzenia]]+Obsluga_ludzie[[#This Row],[Koszty Inne
'[zł/msc']]]+Obsluga_ludzie[[#This Row],[Dodatkowe koszty pracownicze
'[zł/msc']]],(Obsluga_ludzie[[#This Row],[Koszt wynagrodzenia]]*Obsluga_ludzie[[#This Row],[Ilość godzin pracy w miesiącu
'[rbh/msc/os.']]])+Obsluga_ludzie[[#This Row],[Koszty Inne
'[zł/msc']]]+Obsluga_ludzie[[#This Row],[Dodatkowe koszty pracownicze
'[zł/msc']]]),0),0)</f>
        <v>0</v>
      </c>
      <c r="R6" s="579">
        <f>IF(Obsluga_ludzie[[#This Row],[ Zatrudnienie przez:
'[SUEZ/Agencja/Klient']]]="SUEZ",Obsluga_ludzie[[#This Row],[Całkowity koszt jednego pracownika
'[zł/m-c']
SUEZ]]*Obsluga_ludzie[[#This Row],[Ilość osób]],Obsluga_ludzie[[#This Row],[Całkowity koszt jednego pracownika
'[zł/m-c']
AGENCJA]]*Obsluga_ludzie[[#This Row],[Ilość osób]])</f>
        <v>0</v>
      </c>
      <c r="S6" s="579">
        <f>IFERROR(Obsluga_ludzie[[#This Row],[Koszt miesięczny CAŁKOWITY wszystkich pracowników
'[zł/msc']]]*12,0)</f>
        <v>0</v>
      </c>
      <c r="T6" s="579" t="str">
        <f>IF(Obsluga_ludzie[[#This Row],[Koszt w przeliczeniu na:]]="Całkowita masa odpadów",Obsluga_ludzie[[#This Row],[Koszt roczny CAŁKOWITY wszystkich pracowników
'[zł/rok']]]/Kalkulacja[[#Totals],[Szacunkowa ilość odpadu /rok]],"Ryczałt")</f>
        <v>Ryczałt</v>
      </c>
      <c r="U6" s="584"/>
      <c r="V6" s="579"/>
      <c r="AI6" s="389"/>
      <c r="AJ6" s="389"/>
    </row>
    <row r="7" spans="1:36" s="390" customFormat="1" ht="15">
      <c r="A7" s="582">
        <f t="shared" si="0"/>
        <v>3</v>
      </c>
      <c r="B7" s="582"/>
      <c r="C7" s="561"/>
      <c r="D7" s="585"/>
      <c r="E7" s="583"/>
      <c r="F7" s="579"/>
      <c r="G7" s="579"/>
      <c r="H7" s="579"/>
      <c r="I7" s="579"/>
      <c r="J7" s="579" t="str">
        <f>IFERROR(Tabela15[[#Totals],[Koszt miesięczny
'[zł/msc']]]/Obsluga_ludzie[[#Totals],[Ilość osób]]*Obsluga_ludzie[[#This Row],[Ilość osób]],"")</f>
        <v/>
      </c>
      <c r="K7" s="579"/>
      <c r="L7" s="579" t="str">
        <f>IF(Obsluga_ludzie[[#This Row],[ Zatrudnienie przez:
'[SUEZ/Agencja/Klient']]]="SUEZ",IF(Obsluga_ludzie[[#This Row],[Jednostka
 (kosztu wynagrodzenia)]]="zł/msc",Obsluga_ludzie[[#This Row],[Koszt wynagrodzenia]]*$N$1,IF(Obsluga_ludzie[[#This Row],[Jednostka
 (kosztu wynagrodzenia)]]="zł/rbh",(Obsluga_ludzie[[#This Row],[Koszt wynagrodzenia]]*Obsluga_ludzie[[#This Row],[Ilość godzin pracy w miesiącu
'[rbh/msc/os.']]])*$N$1,"")),"")</f>
        <v/>
      </c>
      <c r="M7" s="579" t="str">
        <f>IF(Obsluga_ludzie[[#This Row],[ Zatrudnienie przez:
'[SUEZ/Agencja/Klient']]]="SUEZ",IF(Obsluga_ludzie[[#This Row],[Jednostka
 (kosztu wynagrodzenia)]]="zł/msc",(Obsluga_ludzie[[#This Row],[Koszt wynagrodzenia]]+Obsluga_ludzie[[#This Row],[Premia
'[zł/m-c']]])*$N$2,IF(Obsluga_ludzie[[#This Row],[Jednostka
 (kosztu wynagrodzenia)]]="zł/rbh",((Obsluga_ludzie[[#This Row],[Koszt wynagrodzenia]]*Obsluga_ludzie[[#This Row],[Ilość godzin pracy w miesiącu
'[rbh/msc/os.']]])+Obsluga_ludzie[[#This Row],[Premia
'[zł/m-c']]])*$N$2,"")),"")</f>
        <v/>
      </c>
      <c r="N7" s="583" t="str">
        <f>IF(Obsluga_ludzie[[#This Row],[ Zatrudnienie przez:
'[SUEZ/Agencja/Klient']]]="SUEZ",100,"")</f>
        <v/>
      </c>
      <c r="O7" s="579">
        <f>IF(Obsluga_ludzie[[#This Row],[ Zatrudnienie przez:
'[SUEZ/Agencja/Klient']]]="SUEZ",IF(Obsluga_ludzie[[#This Row],[Jednostka
 (kosztu wynagrodzenia)]]="zł/msc",Obsluga_ludzie[[#This Row],[Koszty Inne
'[zł/msc']]]+Obsluga_ludzie[[#This Row],[Dodatkowe koszty pracownicze
'[zł/msc']]]+Obsluga_ludzie[[#This Row],[Koszt wynagrodzenia]]+Obsluga_ludzie[[#This Row],[Premia
'[zł/m-c']]]+Obsluga_ludzie[[#This Row],[ZUS  na jednego pracownika
'[zł/m-c']]]+Obsluga_ludzie[[#This Row],[Fundusz socjalny (odpis)
'[zł/m-c']]],IF(Obsluga_ludzie[[#This Row],[Jednostka
 (kosztu wynagrodzenia)]]="zł/rbh",(Obsluga_ludzie[[#This Row],[Koszt wynagrodzenia]]*Obsluga_ludzie[[#This Row],[Ilość godzin pracy w miesiącu
'[rbh/msc/os.']]])+Obsluga_ludzie[[#This Row],[Premia
'[zł/m-c']]]+Obsluga_ludzie[[#This Row],[ZUS  na jednego pracownika
'[zł/m-c']]]+Obsluga_ludzie[[#This Row],[Fundusz socjalny (odpis)
'[zł/m-c']]]+Obsluga_ludzie[[#This Row],[Dodatkowe koszty pracownicze
'[zł/msc']]]+Obsluga_ludzie[[#This Row],[Koszty Inne
'[zł/msc']]],0)),0)</f>
        <v>0</v>
      </c>
      <c r="P7" s="579"/>
      <c r="Q7" s="579">
        <f>IFERROR(IF(Obsluga_ludzie[[#This Row],[ Zatrudnienie przez:
'[SUEZ/Agencja/Klient']]]&lt;&gt;"SUEZ",IF(Obsluga_ludzie[[#This Row],[Jednostka
 (kosztu wynagrodzenia)]]="zł/msc",Obsluga_ludzie[[#This Row],[Koszt wynagrodzenia]]+Obsluga_ludzie[[#This Row],[Koszty Inne
'[zł/msc']]]+Obsluga_ludzie[[#This Row],[Dodatkowe koszty pracownicze
'[zł/msc']]],(Obsluga_ludzie[[#This Row],[Koszt wynagrodzenia]]*Obsluga_ludzie[[#This Row],[Ilość godzin pracy w miesiącu
'[rbh/msc/os.']]])+Obsluga_ludzie[[#This Row],[Koszty Inne
'[zł/msc']]]+Obsluga_ludzie[[#This Row],[Dodatkowe koszty pracownicze
'[zł/msc']]]),0),0)</f>
        <v>0</v>
      </c>
      <c r="R7" s="579">
        <f>IF(Obsluga_ludzie[[#This Row],[ Zatrudnienie przez:
'[SUEZ/Agencja/Klient']]]="SUEZ",Obsluga_ludzie[[#This Row],[Całkowity koszt jednego pracownika
'[zł/m-c']
SUEZ]]*Obsluga_ludzie[[#This Row],[Ilość osób]],Obsluga_ludzie[[#This Row],[Całkowity koszt jednego pracownika
'[zł/m-c']
AGENCJA]]*Obsluga_ludzie[[#This Row],[Ilość osób]])</f>
        <v>0</v>
      </c>
      <c r="S7" s="579">
        <f>IFERROR(Obsluga_ludzie[[#This Row],[Koszt miesięczny CAŁKOWITY wszystkich pracowników
'[zł/msc']]]*12,0)</f>
        <v>0</v>
      </c>
      <c r="T7" s="579" t="str">
        <f>IF(Obsluga_ludzie[[#This Row],[Koszt w przeliczeniu na:]]="Całkowita masa odpadów",Obsluga_ludzie[[#This Row],[Koszt roczny CAŁKOWITY wszystkich pracowników
'[zł/rok']]]/Kalkulacja[[#Totals],[Szacunkowa ilość odpadu /rok]],"Ryczałt")</f>
        <v>Ryczałt</v>
      </c>
      <c r="U7" s="584"/>
      <c r="V7" s="579"/>
    </row>
    <row r="8" spans="1:36" s="390" customFormat="1" ht="15">
      <c r="A8" s="582">
        <f t="shared" si="0"/>
        <v>4</v>
      </c>
      <c r="B8" s="582"/>
      <c r="C8" s="561"/>
      <c r="D8" s="585"/>
      <c r="E8" s="583"/>
      <c r="F8" s="579"/>
      <c r="G8" s="579"/>
      <c r="H8" s="579"/>
      <c r="I8" s="579"/>
      <c r="J8" s="579" t="str">
        <f>IFERROR(Tabela15[[#Totals],[Koszt miesięczny
'[zł/msc']]]/Obsluga_ludzie[[#Totals],[Ilość osób]]*Obsluga_ludzie[[#This Row],[Ilość osób]],"")</f>
        <v/>
      </c>
      <c r="K8" s="579"/>
      <c r="L8" s="579" t="str">
        <f>IF(Obsluga_ludzie[[#This Row],[ Zatrudnienie przez:
'[SUEZ/Agencja/Klient']]]="SUEZ",IF(Obsluga_ludzie[[#This Row],[Jednostka
 (kosztu wynagrodzenia)]]="zł/msc",Obsluga_ludzie[[#This Row],[Koszt wynagrodzenia]]*$N$1,IF(Obsluga_ludzie[[#This Row],[Jednostka
 (kosztu wynagrodzenia)]]="zł/rbh",(Obsluga_ludzie[[#This Row],[Koszt wynagrodzenia]]*Obsluga_ludzie[[#This Row],[Ilość godzin pracy w miesiącu
'[rbh/msc/os.']]])*$N$1,"")),"")</f>
        <v/>
      </c>
      <c r="M8" s="579" t="str">
        <f>IF(Obsluga_ludzie[[#This Row],[ Zatrudnienie przez:
'[SUEZ/Agencja/Klient']]]="SUEZ",IF(Obsluga_ludzie[[#This Row],[Jednostka
 (kosztu wynagrodzenia)]]="zł/msc",(Obsluga_ludzie[[#This Row],[Koszt wynagrodzenia]]+Obsluga_ludzie[[#This Row],[Premia
'[zł/m-c']]])*$N$2,IF(Obsluga_ludzie[[#This Row],[Jednostka
 (kosztu wynagrodzenia)]]="zł/rbh",((Obsluga_ludzie[[#This Row],[Koszt wynagrodzenia]]*Obsluga_ludzie[[#This Row],[Ilość godzin pracy w miesiącu
'[rbh/msc/os.']]])+Obsluga_ludzie[[#This Row],[Premia
'[zł/m-c']]])*$N$2,"")),"")</f>
        <v/>
      </c>
      <c r="N8" s="583" t="str">
        <f>IF(Obsluga_ludzie[[#This Row],[ Zatrudnienie przez:
'[SUEZ/Agencja/Klient']]]="SUEZ",100,"")</f>
        <v/>
      </c>
      <c r="O8" s="579">
        <f>IF(Obsluga_ludzie[[#This Row],[ Zatrudnienie przez:
'[SUEZ/Agencja/Klient']]]="SUEZ",IF(Obsluga_ludzie[[#This Row],[Jednostka
 (kosztu wynagrodzenia)]]="zł/msc",Obsluga_ludzie[[#This Row],[Koszty Inne
'[zł/msc']]]+Obsluga_ludzie[[#This Row],[Dodatkowe koszty pracownicze
'[zł/msc']]]+Obsluga_ludzie[[#This Row],[Koszt wynagrodzenia]]+Obsluga_ludzie[[#This Row],[Premia
'[zł/m-c']]]+Obsluga_ludzie[[#This Row],[ZUS  na jednego pracownika
'[zł/m-c']]]+Obsluga_ludzie[[#This Row],[Fundusz socjalny (odpis)
'[zł/m-c']]],IF(Obsluga_ludzie[[#This Row],[Jednostka
 (kosztu wynagrodzenia)]]="zł/rbh",(Obsluga_ludzie[[#This Row],[Koszt wynagrodzenia]]*Obsluga_ludzie[[#This Row],[Ilość godzin pracy w miesiącu
'[rbh/msc/os.']]])+Obsluga_ludzie[[#This Row],[Premia
'[zł/m-c']]]+Obsluga_ludzie[[#This Row],[ZUS  na jednego pracownika
'[zł/m-c']]]+Obsluga_ludzie[[#This Row],[Fundusz socjalny (odpis)
'[zł/m-c']]]+Obsluga_ludzie[[#This Row],[Dodatkowe koszty pracownicze
'[zł/msc']]]+Obsluga_ludzie[[#This Row],[Koszty Inne
'[zł/msc']]],0)),0)</f>
        <v>0</v>
      </c>
      <c r="P8" s="579"/>
      <c r="Q8" s="579">
        <f>IFERROR(IF(Obsluga_ludzie[[#This Row],[ Zatrudnienie przez:
'[SUEZ/Agencja/Klient']]]&lt;&gt;"SUEZ",IF(Obsluga_ludzie[[#This Row],[Jednostka
 (kosztu wynagrodzenia)]]="zł/msc",Obsluga_ludzie[[#This Row],[Koszt wynagrodzenia]]+Obsluga_ludzie[[#This Row],[Koszty Inne
'[zł/msc']]]+Obsluga_ludzie[[#This Row],[Dodatkowe koszty pracownicze
'[zł/msc']]],(Obsluga_ludzie[[#This Row],[Koszt wynagrodzenia]]*Obsluga_ludzie[[#This Row],[Ilość godzin pracy w miesiącu
'[rbh/msc/os.']]])+Obsluga_ludzie[[#This Row],[Koszty Inne
'[zł/msc']]]+Obsluga_ludzie[[#This Row],[Dodatkowe koszty pracownicze
'[zł/msc']]]),0),0)</f>
        <v>0</v>
      </c>
      <c r="R8" s="579">
        <f>IF(Obsluga_ludzie[[#This Row],[ Zatrudnienie przez:
'[SUEZ/Agencja/Klient']]]="SUEZ",Obsluga_ludzie[[#This Row],[Całkowity koszt jednego pracownika
'[zł/m-c']
SUEZ]]*Obsluga_ludzie[[#This Row],[Ilość osób]],Obsluga_ludzie[[#This Row],[Całkowity koszt jednego pracownika
'[zł/m-c']
AGENCJA]]*Obsluga_ludzie[[#This Row],[Ilość osób]])</f>
        <v>0</v>
      </c>
      <c r="S8" s="579">
        <f>IFERROR(Obsluga_ludzie[[#This Row],[Koszt miesięczny CAŁKOWITY wszystkich pracowników
'[zł/msc']]]*12,0)</f>
        <v>0</v>
      </c>
      <c r="T8" s="579" t="str">
        <f>IF(Obsluga_ludzie[[#This Row],[Koszt w przeliczeniu na:]]="Całkowita masa odpadów",Obsluga_ludzie[[#This Row],[Koszt roczny CAŁKOWITY wszystkich pracowników
'[zł/rok']]]/Kalkulacja[[#Totals],[Szacunkowa ilość odpadu /rok]],"Ryczałt")</f>
        <v>Ryczałt</v>
      </c>
      <c r="U8" s="584"/>
      <c r="V8" s="579"/>
    </row>
    <row r="9" spans="1:36" s="390" customFormat="1" ht="15">
      <c r="A9" s="582">
        <f t="shared" si="0"/>
        <v>5</v>
      </c>
      <c r="B9" s="582"/>
      <c r="C9" s="561"/>
      <c r="D9" s="585"/>
      <c r="E9" s="583"/>
      <c r="F9" s="579"/>
      <c r="G9" s="579"/>
      <c r="H9" s="579"/>
      <c r="I9" s="579"/>
      <c r="J9" s="579" t="str">
        <f>IFERROR(Tabela15[[#Totals],[Koszt miesięczny
'[zł/msc']]]/Obsluga_ludzie[[#Totals],[Ilość osób]]*Obsluga_ludzie[[#This Row],[Ilość osób]],"")</f>
        <v/>
      </c>
      <c r="K9" s="579"/>
      <c r="L9" s="579" t="str">
        <f>IF(Obsluga_ludzie[[#This Row],[ Zatrudnienie przez:
'[SUEZ/Agencja/Klient']]]="SUEZ",IF(Obsluga_ludzie[[#This Row],[Jednostka
 (kosztu wynagrodzenia)]]="zł/msc",Obsluga_ludzie[[#This Row],[Koszt wynagrodzenia]]*$N$1,IF(Obsluga_ludzie[[#This Row],[Jednostka
 (kosztu wynagrodzenia)]]="zł/rbh",(Obsluga_ludzie[[#This Row],[Koszt wynagrodzenia]]*Obsluga_ludzie[[#This Row],[Ilość godzin pracy w miesiącu
'[rbh/msc/os.']]])*$N$1,"")),"")</f>
        <v/>
      </c>
      <c r="M9" s="579" t="str">
        <f>IF(Obsluga_ludzie[[#This Row],[ Zatrudnienie przez:
'[SUEZ/Agencja/Klient']]]="SUEZ",IF(Obsluga_ludzie[[#This Row],[Jednostka
 (kosztu wynagrodzenia)]]="zł/msc",(Obsluga_ludzie[[#This Row],[Koszt wynagrodzenia]]+Obsluga_ludzie[[#This Row],[Premia
'[zł/m-c']]])*$N$2,IF(Obsluga_ludzie[[#This Row],[Jednostka
 (kosztu wynagrodzenia)]]="zł/rbh",((Obsluga_ludzie[[#This Row],[Koszt wynagrodzenia]]*Obsluga_ludzie[[#This Row],[Ilość godzin pracy w miesiącu
'[rbh/msc/os.']]])+Obsluga_ludzie[[#This Row],[Premia
'[zł/m-c']]])*$N$2,"")),"")</f>
        <v/>
      </c>
      <c r="N9" s="583" t="str">
        <f>IF(Obsluga_ludzie[[#This Row],[ Zatrudnienie przez:
'[SUEZ/Agencja/Klient']]]="SUEZ",100,"")</f>
        <v/>
      </c>
      <c r="O9" s="579">
        <f>IF(Obsluga_ludzie[[#This Row],[ Zatrudnienie przez:
'[SUEZ/Agencja/Klient']]]="SUEZ",IF(Obsluga_ludzie[[#This Row],[Jednostka
 (kosztu wynagrodzenia)]]="zł/msc",Obsluga_ludzie[[#This Row],[Koszty Inne
'[zł/msc']]]+Obsluga_ludzie[[#This Row],[Dodatkowe koszty pracownicze
'[zł/msc']]]+Obsluga_ludzie[[#This Row],[Koszt wynagrodzenia]]+Obsluga_ludzie[[#This Row],[Premia
'[zł/m-c']]]+Obsluga_ludzie[[#This Row],[ZUS  na jednego pracownika
'[zł/m-c']]]+Obsluga_ludzie[[#This Row],[Fundusz socjalny (odpis)
'[zł/m-c']]],IF(Obsluga_ludzie[[#This Row],[Jednostka
 (kosztu wynagrodzenia)]]="zł/rbh",(Obsluga_ludzie[[#This Row],[Koszt wynagrodzenia]]*Obsluga_ludzie[[#This Row],[Ilość godzin pracy w miesiącu
'[rbh/msc/os.']]])+Obsluga_ludzie[[#This Row],[Premia
'[zł/m-c']]]+Obsluga_ludzie[[#This Row],[ZUS  na jednego pracownika
'[zł/m-c']]]+Obsluga_ludzie[[#This Row],[Fundusz socjalny (odpis)
'[zł/m-c']]]+Obsluga_ludzie[[#This Row],[Dodatkowe koszty pracownicze
'[zł/msc']]]+Obsluga_ludzie[[#This Row],[Koszty Inne
'[zł/msc']]],0)),0)</f>
        <v>0</v>
      </c>
      <c r="P9" s="579"/>
      <c r="Q9" s="579">
        <f>IFERROR(IF(Obsluga_ludzie[[#This Row],[ Zatrudnienie przez:
'[SUEZ/Agencja/Klient']]]&lt;&gt;"SUEZ",IF(Obsluga_ludzie[[#This Row],[Jednostka
 (kosztu wynagrodzenia)]]="zł/msc",Obsluga_ludzie[[#This Row],[Koszt wynagrodzenia]]+Obsluga_ludzie[[#This Row],[Koszty Inne
'[zł/msc']]]+Obsluga_ludzie[[#This Row],[Dodatkowe koszty pracownicze
'[zł/msc']]],(Obsluga_ludzie[[#This Row],[Koszt wynagrodzenia]]*Obsluga_ludzie[[#This Row],[Ilość godzin pracy w miesiącu
'[rbh/msc/os.']]])+Obsluga_ludzie[[#This Row],[Koszty Inne
'[zł/msc']]]+Obsluga_ludzie[[#This Row],[Dodatkowe koszty pracownicze
'[zł/msc']]]),0),0)</f>
        <v>0</v>
      </c>
      <c r="R9" s="579">
        <f>IF(Obsluga_ludzie[[#This Row],[ Zatrudnienie przez:
'[SUEZ/Agencja/Klient']]]="SUEZ",Obsluga_ludzie[[#This Row],[Całkowity koszt jednego pracownika
'[zł/m-c']
SUEZ]]*Obsluga_ludzie[[#This Row],[Ilość osób]],Obsluga_ludzie[[#This Row],[Całkowity koszt jednego pracownika
'[zł/m-c']
AGENCJA]]*Obsluga_ludzie[[#This Row],[Ilość osób]])</f>
        <v>0</v>
      </c>
      <c r="S9" s="579">
        <f>IFERROR(Obsluga_ludzie[[#This Row],[Koszt miesięczny CAŁKOWITY wszystkich pracowników
'[zł/msc']]]*12,0)</f>
        <v>0</v>
      </c>
      <c r="T9" s="579" t="str">
        <f>IF(Obsluga_ludzie[[#This Row],[Koszt w przeliczeniu na:]]="Całkowita masa odpadów",Obsluga_ludzie[[#This Row],[Koszt roczny CAŁKOWITY wszystkich pracowników
'[zł/rok']]]/Kalkulacja[[#Totals],[Szacunkowa ilość odpadu /rok]],"Ryczałt")</f>
        <v>Ryczałt</v>
      </c>
      <c r="U9" s="584"/>
      <c r="V9" s="579"/>
    </row>
    <row r="10" spans="1:36" s="390" customFormat="1" ht="15">
      <c r="A10" s="582">
        <f t="shared" si="0"/>
        <v>6</v>
      </c>
      <c r="B10" s="582"/>
      <c r="C10" s="561"/>
      <c r="D10" s="585"/>
      <c r="E10" s="583"/>
      <c r="F10" s="579"/>
      <c r="G10" s="579"/>
      <c r="H10" s="579"/>
      <c r="I10" s="579"/>
      <c r="J10" s="579" t="str">
        <f>IFERROR(Tabela15[[#Totals],[Koszt miesięczny
'[zł/msc']]]/Obsluga_ludzie[[#Totals],[Ilość osób]]*Obsluga_ludzie[[#This Row],[Ilość osób]],"")</f>
        <v/>
      </c>
      <c r="K10" s="579"/>
      <c r="L10" s="579" t="str">
        <f>IF(Obsluga_ludzie[[#This Row],[ Zatrudnienie przez:
'[SUEZ/Agencja/Klient']]]="SUEZ",IF(Obsluga_ludzie[[#This Row],[Jednostka
 (kosztu wynagrodzenia)]]="zł/msc",Obsluga_ludzie[[#This Row],[Koszt wynagrodzenia]]*$N$1,IF(Obsluga_ludzie[[#This Row],[Jednostka
 (kosztu wynagrodzenia)]]="zł/rbh",(Obsluga_ludzie[[#This Row],[Koszt wynagrodzenia]]*Obsluga_ludzie[[#This Row],[Ilość godzin pracy w miesiącu
'[rbh/msc/os.']]])*$N$1,"")),"")</f>
        <v/>
      </c>
      <c r="M10" s="579" t="str">
        <f>IF(Obsluga_ludzie[[#This Row],[ Zatrudnienie przez:
'[SUEZ/Agencja/Klient']]]="SUEZ",IF(Obsluga_ludzie[[#This Row],[Jednostka
 (kosztu wynagrodzenia)]]="zł/msc",(Obsluga_ludzie[[#This Row],[Koszt wynagrodzenia]]+Obsluga_ludzie[[#This Row],[Premia
'[zł/m-c']]])*$N$2,IF(Obsluga_ludzie[[#This Row],[Jednostka
 (kosztu wynagrodzenia)]]="zł/rbh",((Obsluga_ludzie[[#This Row],[Koszt wynagrodzenia]]*Obsluga_ludzie[[#This Row],[Ilość godzin pracy w miesiącu
'[rbh/msc/os.']]])+Obsluga_ludzie[[#This Row],[Premia
'[zł/m-c']]])*$N$2,"")),"")</f>
        <v/>
      </c>
      <c r="N10" s="583" t="str">
        <f>IF(Obsluga_ludzie[[#This Row],[ Zatrudnienie przez:
'[SUEZ/Agencja/Klient']]]="SUEZ",100,"")</f>
        <v/>
      </c>
      <c r="O10" s="579">
        <f>IF(Obsluga_ludzie[[#This Row],[ Zatrudnienie przez:
'[SUEZ/Agencja/Klient']]]="SUEZ",IF(Obsluga_ludzie[[#This Row],[Jednostka
 (kosztu wynagrodzenia)]]="zł/msc",Obsluga_ludzie[[#This Row],[Koszty Inne
'[zł/msc']]]+Obsluga_ludzie[[#This Row],[Dodatkowe koszty pracownicze
'[zł/msc']]]+Obsluga_ludzie[[#This Row],[Koszt wynagrodzenia]]+Obsluga_ludzie[[#This Row],[Premia
'[zł/m-c']]]+Obsluga_ludzie[[#This Row],[ZUS  na jednego pracownika
'[zł/m-c']]]+Obsluga_ludzie[[#This Row],[Fundusz socjalny (odpis)
'[zł/m-c']]],IF(Obsluga_ludzie[[#This Row],[Jednostka
 (kosztu wynagrodzenia)]]="zł/rbh",(Obsluga_ludzie[[#This Row],[Koszt wynagrodzenia]]*Obsluga_ludzie[[#This Row],[Ilość godzin pracy w miesiącu
'[rbh/msc/os.']]])+Obsluga_ludzie[[#This Row],[Premia
'[zł/m-c']]]+Obsluga_ludzie[[#This Row],[ZUS  na jednego pracownika
'[zł/m-c']]]+Obsluga_ludzie[[#This Row],[Fundusz socjalny (odpis)
'[zł/m-c']]]+Obsluga_ludzie[[#This Row],[Dodatkowe koszty pracownicze
'[zł/msc']]]+Obsluga_ludzie[[#This Row],[Koszty Inne
'[zł/msc']]],0)),0)</f>
        <v>0</v>
      </c>
      <c r="P10" s="579"/>
      <c r="Q10" s="579">
        <f>IFERROR(IF(Obsluga_ludzie[[#This Row],[ Zatrudnienie przez:
'[SUEZ/Agencja/Klient']]]&lt;&gt;"SUEZ",IF(Obsluga_ludzie[[#This Row],[Jednostka
 (kosztu wynagrodzenia)]]="zł/msc",Obsluga_ludzie[[#This Row],[Koszt wynagrodzenia]]+Obsluga_ludzie[[#This Row],[Koszty Inne
'[zł/msc']]]+Obsluga_ludzie[[#This Row],[Dodatkowe koszty pracownicze
'[zł/msc']]],(Obsluga_ludzie[[#This Row],[Koszt wynagrodzenia]]*Obsluga_ludzie[[#This Row],[Ilość godzin pracy w miesiącu
'[rbh/msc/os.']]])+Obsluga_ludzie[[#This Row],[Koszty Inne
'[zł/msc']]]+Obsluga_ludzie[[#This Row],[Dodatkowe koszty pracownicze
'[zł/msc']]]),0),0)</f>
        <v>0</v>
      </c>
      <c r="R10" s="579">
        <f>IF(Obsluga_ludzie[[#This Row],[ Zatrudnienie przez:
'[SUEZ/Agencja/Klient']]]="SUEZ",Obsluga_ludzie[[#This Row],[Całkowity koszt jednego pracownika
'[zł/m-c']
SUEZ]]*Obsluga_ludzie[[#This Row],[Ilość osób]],Obsluga_ludzie[[#This Row],[Całkowity koszt jednego pracownika
'[zł/m-c']
AGENCJA]]*Obsluga_ludzie[[#This Row],[Ilość osób]])</f>
        <v>0</v>
      </c>
      <c r="S10" s="579">
        <f>IFERROR(Obsluga_ludzie[[#This Row],[Koszt miesięczny CAŁKOWITY wszystkich pracowników
'[zł/msc']]]*12,0)</f>
        <v>0</v>
      </c>
      <c r="T10" s="579" t="str">
        <f>IF(Obsluga_ludzie[[#This Row],[Koszt w przeliczeniu na:]]="Całkowita masa odpadów",Obsluga_ludzie[[#This Row],[Koszt roczny CAŁKOWITY wszystkich pracowników
'[zł/rok']]]/Kalkulacja[[#Totals],[Szacunkowa ilość odpadu /rok]],"Ryczałt")</f>
        <v>Ryczałt</v>
      </c>
      <c r="U10" s="584"/>
      <c r="V10" s="579"/>
    </row>
    <row r="11" spans="1:36" s="390" customFormat="1" ht="15">
      <c r="A11" s="582">
        <f t="shared" si="0"/>
        <v>7</v>
      </c>
      <c r="B11" s="582"/>
      <c r="C11" s="561"/>
      <c r="D11" s="585"/>
      <c r="E11" s="583"/>
      <c r="F11" s="579"/>
      <c r="G11" s="579"/>
      <c r="H11" s="579"/>
      <c r="I11" s="579"/>
      <c r="J11" s="579" t="str">
        <f>IFERROR(Tabela15[[#Totals],[Koszt miesięczny
'[zł/msc']]]/Obsluga_ludzie[[#Totals],[Ilość osób]]*Obsluga_ludzie[[#This Row],[Ilość osób]],"")</f>
        <v/>
      </c>
      <c r="K11" s="579"/>
      <c r="L11" s="579" t="str">
        <f>IF(Obsluga_ludzie[[#This Row],[ Zatrudnienie przez:
'[SUEZ/Agencja/Klient']]]="SUEZ",IF(Obsluga_ludzie[[#This Row],[Jednostka
 (kosztu wynagrodzenia)]]="zł/msc",Obsluga_ludzie[[#This Row],[Koszt wynagrodzenia]]*$N$1,IF(Obsluga_ludzie[[#This Row],[Jednostka
 (kosztu wynagrodzenia)]]="zł/rbh",(Obsluga_ludzie[[#This Row],[Koszt wynagrodzenia]]*Obsluga_ludzie[[#This Row],[Ilość godzin pracy w miesiącu
'[rbh/msc/os.']]])*$N$1,"")),"")</f>
        <v/>
      </c>
      <c r="M11" s="579" t="str">
        <f>IF(Obsluga_ludzie[[#This Row],[ Zatrudnienie przez:
'[SUEZ/Agencja/Klient']]]="SUEZ",IF(Obsluga_ludzie[[#This Row],[Jednostka
 (kosztu wynagrodzenia)]]="zł/msc",(Obsluga_ludzie[[#This Row],[Koszt wynagrodzenia]]+Obsluga_ludzie[[#This Row],[Premia
'[zł/m-c']]])*$N$2,IF(Obsluga_ludzie[[#This Row],[Jednostka
 (kosztu wynagrodzenia)]]="zł/rbh",((Obsluga_ludzie[[#This Row],[Koszt wynagrodzenia]]*Obsluga_ludzie[[#This Row],[Ilość godzin pracy w miesiącu
'[rbh/msc/os.']]])+Obsluga_ludzie[[#This Row],[Premia
'[zł/m-c']]])*$N$2,"")),"")</f>
        <v/>
      </c>
      <c r="N11" s="583" t="str">
        <f>IF(Obsluga_ludzie[[#This Row],[ Zatrudnienie przez:
'[SUEZ/Agencja/Klient']]]="SUEZ",100,"")</f>
        <v/>
      </c>
      <c r="O11" s="579">
        <f>IF(Obsluga_ludzie[[#This Row],[ Zatrudnienie przez:
'[SUEZ/Agencja/Klient']]]="SUEZ",IF(Obsluga_ludzie[[#This Row],[Jednostka
 (kosztu wynagrodzenia)]]="zł/msc",Obsluga_ludzie[[#This Row],[Koszty Inne
'[zł/msc']]]+Obsluga_ludzie[[#This Row],[Dodatkowe koszty pracownicze
'[zł/msc']]]+Obsluga_ludzie[[#This Row],[Koszt wynagrodzenia]]+Obsluga_ludzie[[#This Row],[Premia
'[zł/m-c']]]+Obsluga_ludzie[[#This Row],[ZUS  na jednego pracownika
'[zł/m-c']]]+Obsluga_ludzie[[#This Row],[Fundusz socjalny (odpis)
'[zł/m-c']]],IF(Obsluga_ludzie[[#This Row],[Jednostka
 (kosztu wynagrodzenia)]]="zł/rbh",(Obsluga_ludzie[[#This Row],[Koszt wynagrodzenia]]*Obsluga_ludzie[[#This Row],[Ilość godzin pracy w miesiącu
'[rbh/msc/os.']]])+Obsluga_ludzie[[#This Row],[Premia
'[zł/m-c']]]+Obsluga_ludzie[[#This Row],[ZUS  na jednego pracownika
'[zł/m-c']]]+Obsluga_ludzie[[#This Row],[Fundusz socjalny (odpis)
'[zł/m-c']]]+Obsluga_ludzie[[#This Row],[Dodatkowe koszty pracownicze
'[zł/msc']]]+Obsluga_ludzie[[#This Row],[Koszty Inne
'[zł/msc']]],0)),0)</f>
        <v>0</v>
      </c>
      <c r="P11" s="579"/>
      <c r="Q11" s="579">
        <f>IFERROR(IF(Obsluga_ludzie[[#This Row],[ Zatrudnienie przez:
'[SUEZ/Agencja/Klient']]]&lt;&gt;"SUEZ",IF(Obsluga_ludzie[[#This Row],[Jednostka
 (kosztu wynagrodzenia)]]="zł/msc",Obsluga_ludzie[[#This Row],[Koszt wynagrodzenia]]+Obsluga_ludzie[[#This Row],[Koszty Inne
'[zł/msc']]]+Obsluga_ludzie[[#This Row],[Dodatkowe koszty pracownicze
'[zł/msc']]],(Obsluga_ludzie[[#This Row],[Koszt wynagrodzenia]]*Obsluga_ludzie[[#This Row],[Ilość godzin pracy w miesiącu
'[rbh/msc/os.']]])+Obsluga_ludzie[[#This Row],[Koszty Inne
'[zł/msc']]]+Obsluga_ludzie[[#This Row],[Dodatkowe koszty pracownicze
'[zł/msc']]]),0),0)</f>
        <v>0</v>
      </c>
      <c r="R11" s="579">
        <f>IF(Obsluga_ludzie[[#This Row],[ Zatrudnienie przez:
'[SUEZ/Agencja/Klient']]]="SUEZ",Obsluga_ludzie[[#This Row],[Całkowity koszt jednego pracownika
'[zł/m-c']
SUEZ]]*Obsluga_ludzie[[#This Row],[Ilość osób]],Obsluga_ludzie[[#This Row],[Całkowity koszt jednego pracownika
'[zł/m-c']
AGENCJA]]*Obsluga_ludzie[[#This Row],[Ilość osób]])</f>
        <v>0</v>
      </c>
      <c r="S11" s="579">
        <f>IFERROR(Obsluga_ludzie[[#This Row],[Koszt miesięczny CAŁKOWITY wszystkich pracowników
'[zł/msc']]]*12,0)</f>
        <v>0</v>
      </c>
      <c r="T11" s="579" t="str">
        <f>IF(Obsluga_ludzie[[#This Row],[Koszt w przeliczeniu na:]]="Całkowita masa odpadów",Obsluga_ludzie[[#This Row],[Koszt roczny CAŁKOWITY wszystkich pracowników
'[zł/rok']]]/Kalkulacja[[#Totals],[Szacunkowa ilość odpadu /rok]],"Ryczałt")</f>
        <v>Ryczałt</v>
      </c>
      <c r="U11" s="584"/>
      <c r="V11" s="579"/>
    </row>
    <row r="12" spans="1:36" s="390" customFormat="1" ht="15.6">
      <c r="A12" s="586"/>
      <c r="B12" s="587"/>
      <c r="C12" s="543"/>
      <c r="D12" s="588"/>
      <c r="E12" s="589">
        <f>SUBTOTAL(109,Obsluga_ludzie[Ilość osób])</f>
        <v>0</v>
      </c>
      <c r="F12" s="590"/>
      <c r="G12" s="589">
        <f>SUBTOTAL(109,Obsluga_ludzie[Koszt wynagrodzenia])</f>
        <v>0</v>
      </c>
      <c r="H12" s="590"/>
      <c r="I12" s="590"/>
      <c r="J12" s="589">
        <f>SUBTOTAL(109,Obsluga_ludzie[Dodatkowe koszty pracownicze
'[zł/msc']])</f>
        <v>0</v>
      </c>
      <c r="K12" s="590"/>
      <c r="L12" s="590"/>
      <c r="M12" s="546"/>
      <c r="N12" s="546"/>
      <c r="O12" s="590"/>
      <c r="P12" s="590"/>
      <c r="Q12" s="546"/>
      <c r="R12" s="589">
        <f>SUBTOTAL(109,Obsluga_ludzie[Koszt miesięczny CAŁKOWITY wszystkich pracowników
'[zł/msc']])</f>
        <v>0</v>
      </c>
      <c r="S12" s="589">
        <f>SUBTOTAL(109,Obsluga_ludzie[Koszt roczny CAŁKOWITY wszystkich pracowników
'[zł/rok']])</f>
        <v>0</v>
      </c>
      <c r="T12" s="589">
        <f>SUBTOTAL(109,Obsluga_ludzie[Koszt roczny w przeliczeniu na tonę (zł/Mg)])</f>
        <v>0</v>
      </c>
      <c r="U12" s="550"/>
      <c r="V12" s="546"/>
      <c r="X12" s="132"/>
      <c r="Y12" s="132"/>
      <c r="Z12" s="132"/>
      <c r="AA12" s="132"/>
      <c r="AB12" s="132"/>
      <c r="AC12" s="132"/>
      <c r="AD12" s="132"/>
      <c r="AE12" s="132"/>
      <c r="AF12" s="132"/>
      <c r="AG12" s="132"/>
    </row>
    <row r="13" spans="1:36" s="390" customFormat="1">
      <c r="A13" s="357"/>
      <c r="B13" s="393"/>
      <c r="C13" s="394"/>
      <c r="D13" s="395"/>
      <c r="E13" s="395"/>
      <c r="F13" s="395"/>
      <c r="G13" s="395"/>
      <c r="H13" s="395"/>
      <c r="I13" s="395"/>
      <c r="J13" s="395"/>
      <c r="K13" s="395"/>
      <c r="L13" s="395"/>
      <c r="M13" s="395"/>
      <c r="N13" s="395"/>
      <c r="O13" s="395"/>
      <c r="P13" s="395"/>
      <c r="Q13" s="395"/>
      <c r="R13" s="395"/>
      <c r="S13" s="395"/>
      <c r="T13" s="395"/>
      <c r="U13" s="395"/>
      <c r="V13" s="358"/>
      <c r="X13" s="132"/>
      <c r="Y13" s="132"/>
      <c r="Z13" s="132"/>
      <c r="AA13" s="132"/>
      <c r="AB13" s="132"/>
      <c r="AC13" s="132"/>
      <c r="AD13" s="132"/>
      <c r="AE13" s="132"/>
      <c r="AF13" s="132"/>
      <c r="AG13" s="132"/>
    </row>
    <row r="14" spans="1:36" s="390" customFormat="1">
      <c r="A14" s="347"/>
      <c r="B14" s="347"/>
      <c r="C14" s="347"/>
      <c r="D14" s="395"/>
      <c r="E14" s="395"/>
      <c r="F14" s="395"/>
      <c r="G14" s="395"/>
      <c r="H14" s="395"/>
      <c r="I14" s="395"/>
      <c r="J14" s="395"/>
      <c r="K14" s="395"/>
      <c r="L14" s="395"/>
      <c r="M14" s="395"/>
      <c r="N14" s="395"/>
      <c r="O14" s="395"/>
      <c r="P14" s="395"/>
      <c r="Q14" s="395"/>
      <c r="R14" s="395"/>
      <c r="S14" s="395"/>
      <c r="T14" s="395"/>
      <c r="U14" s="395"/>
      <c r="V14" s="347"/>
      <c r="X14" s="347"/>
      <c r="Y14" s="347"/>
      <c r="Z14" s="347"/>
      <c r="AA14" s="347"/>
      <c r="AB14" s="347"/>
      <c r="AC14" s="347"/>
      <c r="AD14" s="347"/>
      <c r="AE14" s="347"/>
      <c r="AF14" s="347"/>
      <c r="AG14" s="347"/>
    </row>
    <row r="15" spans="1:36" s="243" customFormat="1" ht="17.399999999999999">
      <c r="A15" s="690" t="s">
        <v>2464</v>
      </c>
      <c r="B15" s="691"/>
      <c r="C15" s="691"/>
      <c r="D15" s="691"/>
      <c r="E15" s="691"/>
      <c r="F15" s="691"/>
      <c r="G15" s="74"/>
      <c r="M15" s="269"/>
      <c r="T15" s="69"/>
      <c r="U15" s="68"/>
      <c r="V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</row>
    <row r="16" spans="1:36" s="243" customFormat="1" ht="45">
      <c r="A16" s="518" t="s">
        <v>1025</v>
      </c>
      <c r="B16" s="518" t="s">
        <v>2356</v>
      </c>
      <c r="C16" s="518" t="s">
        <v>2194</v>
      </c>
      <c r="D16" s="518" t="s">
        <v>2193</v>
      </c>
      <c r="E16" s="518" t="s">
        <v>2195</v>
      </c>
      <c r="F16" s="518" t="s">
        <v>2196</v>
      </c>
      <c r="G16" s="74"/>
      <c r="J16" s="269"/>
      <c r="T16" s="69"/>
      <c r="U16" s="68"/>
      <c r="V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</row>
    <row r="17" spans="1:36" s="243" customFormat="1" ht="15">
      <c r="A17" s="591">
        <v>1</v>
      </c>
      <c r="B17" s="585"/>
      <c r="C17" s="591"/>
      <c r="D17" s="591"/>
      <c r="E17" s="591">
        <f>Tabela15[[#This Row],[Ilość w roku
'[szt./rok']]]*Tabela15[[#This Row],[Cena jedn
'[zł/szt.']]]</f>
        <v>0</v>
      </c>
      <c r="F17" s="592">
        <f>Tabela15[[#This Row],[Roczny Koszt całkowity
'[zł/rok']]]/12</f>
        <v>0</v>
      </c>
      <c r="G17" s="74"/>
      <c r="T17" s="69"/>
      <c r="U17" s="68"/>
      <c r="V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</row>
    <row r="18" spans="1:36" ht="11.25" customHeight="1">
      <c r="A18" s="591">
        <v>2</v>
      </c>
      <c r="B18" s="585"/>
      <c r="C18" s="591"/>
      <c r="D18" s="591"/>
      <c r="E18" s="591">
        <f>Tabela15[[#This Row],[Ilość w roku
'[szt./rok']]]*Tabela15[[#This Row],[Cena jedn
'[zł/szt.']]]</f>
        <v>0</v>
      </c>
      <c r="F18" s="592">
        <f>Tabela15[[#This Row],[Roczny Koszt całkowity
'[zł/rok']]]/12</f>
        <v>0</v>
      </c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6" ht="15">
      <c r="A19" s="591">
        <v>3</v>
      </c>
      <c r="B19" s="585"/>
      <c r="C19" s="591"/>
      <c r="D19" s="591"/>
      <c r="E19" s="591">
        <f>Tabela15[[#This Row],[Ilość w roku
'[szt./rok']]]*Tabela15[[#This Row],[Cena jedn
'[zł/szt.']]]</f>
        <v>0</v>
      </c>
      <c r="F19" s="592">
        <f>Tabela15[[#This Row],[Roczny Koszt całkowity
'[zł/rok']]]/12</f>
        <v>0</v>
      </c>
      <c r="AE19" s="74"/>
      <c r="AF19" s="74"/>
      <c r="AG19" s="74"/>
    </row>
    <row r="20" spans="1:36" ht="15">
      <c r="A20" s="591">
        <v>4</v>
      </c>
      <c r="B20" s="585"/>
      <c r="C20" s="591"/>
      <c r="D20" s="591"/>
      <c r="E20" s="591">
        <f>Tabela15[[#This Row],[Ilość w roku
'[szt./rok']]]*Tabela15[[#This Row],[Cena jedn
'[zł/szt.']]]</f>
        <v>0</v>
      </c>
      <c r="F20" s="592">
        <f>Tabela15[[#This Row],[Roczny Koszt całkowity
'[zł/rok']]]/12</f>
        <v>0</v>
      </c>
      <c r="AE20" s="74"/>
      <c r="AF20" s="74"/>
      <c r="AG20" s="74"/>
    </row>
    <row r="21" spans="1:36" ht="15">
      <c r="A21" s="591">
        <v>5</v>
      </c>
      <c r="B21" s="585"/>
      <c r="C21" s="591"/>
      <c r="D21" s="591"/>
      <c r="E21" s="591">
        <f>Tabela15[[#This Row],[Ilość w roku
'[szt./rok']]]*Tabela15[[#This Row],[Cena jedn
'[zł/szt.']]]</f>
        <v>0</v>
      </c>
      <c r="F21" s="592">
        <f>Tabela15[[#This Row],[Roczny Koszt całkowity
'[zł/rok']]]/12</f>
        <v>0</v>
      </c>
      <c r="T21" s="74"/>
      <c r="U21" s="74"/>
      <c r="V21" s="74"/>
      <c r="AE21" s="74"/>
      <c r="AF21" s="74"/>
      <c r="AG21" s="74"/>
    </row>
    <row r="22" spans="1:36" ht="15">
      <c r="A22" s="591">
        <v>3</v>
      </c>
      <c r="B22" s="585"/>
      <c r="C22" s="591"/>
      <c r="D22" s="591"/>
      <c r="E22" s="591">
        <f>Tabela15[[#This Row],[Ilość w roku
'[szt./rok']]]*Tabela15[[#This Row],[Cena jedn
'[zł/szt.']]]</f>
        <v>0</v>
      </c>
      <c r="F22" s="592">
        <f>Tabela15[[#This Row],[Roczny Koszt całkowity
'[zł/rok']]]/12</f>
        <v>0</v>
      </c>
      <c r="T22" s="74"/>
      <c r="U22" s="74"/>
      <c r="V22" s="74"/>
      <c r="Y22" s="74"/>
      <c r="Z22" s="74"/>
      <c r="AA22" s="74"/>
      <c r="AB22" s="74"/>
      <c r="AC22" s="74"/>
      <c r="AD22" s="74"/>
      <c r="AE22" s="74"/>
      <c r="AF22" s="74"/>
      <c r="AG22" s="74"/>
      <c r="AI22" s="75"/>
    </row>
    <row r="23" spans="1:36" ht="15">
      <c r="A23" s="591">
        <v>4</v>
      </c>
      <c r="B23" s="585"/>
      <c r="C23" s="591"/>
      <c r="D23" s="591"/>
      <c r="E23" s="591">
        <f>Tabela15[[#This Row],[Ilość w roku
'[szt./rok']]]*Tabela15[[#This Row],[Cena jedn
'[zł/szt.']]]</f>
        <v>0</v>
      </c>
      <c r="F23" s="592">
        <f>Tabela15[[#This Row],[Roczny Koszt całkowity
'[zł/rok']]]/12</f>
        <v>0</v>
      </c>
      <c r="T23" s="74"/>
      <c r="U23" s="74"/>
      <c r="V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5"/>
    </row>
    <row r="24" spans="1:36" ht="15">
      <c r="A24" s="591">
        <v>8</v>
      </c>
      <c r="B24" s="585"/>
      <c r="C24" s="591"/>
      <c r="D24" s="591"/>
      <c r="E24" s="591">
        <f>Tabela15[[#This Row],[Ilość w roku
'[szt./rok']]]*Tabela15[[#This Row],[Cena jedn
'[zł/szt.']]]</f>
        <v>0</v>
      </c>
      <c r="F24" s="592">
        <f>Tabela15[[#This Row],[Roczny Koszt całkowity
'[zł/rok']]]/12</f>
        <v>0</v>
      </c>
      <c r="Y24" s="74"/>
      <c r="Z24" s="74"/>
      <c r="AA24" s="74"/>
      <c r="AB24" s="74"/>
      <c r="AC24" s="74"/>
      <c r="AD24" s="74"/>
      <c r="AE24" s="74"/>
      <c r="AF24" s="74"/>
      <c r="AG24" s="74"/>
      <c r="AH24" s="75"/>
      <c r="AI24" s="75"/>
    </row>
    <row r="25" spans="1:36" ht="15.6">
      <c r="A25" s="357"/>
      <c r="B25" s="385"/>
      <c r="C25" s="358"/>
      <c r="D25" s="358"/>
      <c r="E25" s="589">
        <f>SUBTOTAL(109,Tabela15[Roczny Koszt całkowity
'[zł/rok']])</f>
        <v>0</v>
      </c>
      <c r="F25" s="589">
        <f>SUBTOTAL(109,Tabela15[Koszt miesięczny
'[zł/msc']])</f>
        <v>0</v>
      </c>
      <c r="O25" s="138"/>
      <c r="P25" s="138"/>
      <c r="Q25" s="69"/>
      <c r="R25" s="69"/>
      <c r="S25" s="139"/>
      <c r="T25" s="139"/>
      <c r="U25" s="139"/>
      <c r="V25" s="139"/>
      <c r="AE25" s="74"/>
      <c r="AF25" s="74"/>
      <c r="AG25" s="74"/>
      <c r="AH25" s="75"/>
      <c r="AI25" s="74"/>
    </row>
    <row r="26" spans="1:36" s="344" customFormat="1">
      <c r="L26" s="360"/>
      <c r="M26" s="360"/>
      <c r="N26" s="347"/>
      <c r="O26" s="347"/>
      <c r="P26" s="347"/>
      <c r="Q26" s="347"/>
      <c r="R26" s="347"/>
      <c r="S26" s="347"/>
      <c r="T26" s="132"/>
      <c r="U26" s="347"/>
      <c r="V26" s="347"/>
      <c r="W26" s="347"/>
      <c r="X26" s="347"/>
      <c r="Y26" s="347"/>
      <c r="Z26" s="347"/>
      <c r="AA26" s="347"/>
      <c r="AB26" s="347"/>
      <c r="AC26" s="347"/>
      <c r="AD26" s="347"/>
      <c r="AH26" s="360"/>
      <c r="AJ26" s="347"/>
    </row>
    <row r="27" spans="1:36" s="344" customFormat="1" ht="17.399999999999999">
      <c r="C27" s="692" t="s">
        <v>2358</v>
      </c>
      <c r="D27" s="693"/>
      <c r="E27" s="693"/>
      <c r="F27" s="693"/>
      <c r="G27" s="692" t="s">
        <v>2359</v>
      </c>
      <c r="H27" s="693"/>
      <c r="I27" s="693"/>
      <c r="J27" s="693"/>
      <c r="L27" s="360"/>
      <c r="M27" s="360"/>
      <c r="N27" s="347"/>
      <c r="O27" s="347"/>
      <c r="P27" s="347"/>
      <c r="Q27" s="347"/>
      <c r="R27" s="347"/>
      <c r="S27" s="347"/>
      <c r="T27" s="132"/>
      <c r="U27" s="347"/>
      <c r="V27" s="347"/>
      <c r="W27" s="347"/>
      <c r="X27" s="347"/>
      <c r="Y27" s="347"/>
      <c r="Z27" s="347"/>
      <c r="AA27" s="347"/>
      <c r="AB27" s="347"/>
      <c r="AC27" s="347"/>
      <c r="AD27" s="347"/>
      <c r="AH27" s="360"/>
      <c r="AJ27" s="347"/>
    </row>
    <row r="28" spans="1:36" s="344" customFormat="1" ht="45">
      <c r="A28" s="593" t="s">
        <v>1025</v>
      </c>
      <c r="B28" s="593" t="s">
        <v>126</v>
      </c>
      <c r="C28" s="593" t="s">
        <v>2153</v>
      </c>
      <c r="D28" s="593" t="s">
        <v>2179</v>
      </c>
      <c r="E28" s="593" t="s">
        <v>2170</v>
      </c>
      <c r="F28" s="593" t="s">
        <v>2171</v>
      </c>
      <c r="G28" s="593" t="s">
        <v>2154</v>
      </c>
      <c r="H28" s="593" t="s">
        <v>1014</v>
      </c>
      <c r="I28" s="593" t="s">
        <v>2172</v>
      </c>
      <c r="J28" s="593" t="s">
        <v>2173</v>
      </c>
      <c r="L28" s="396"/>
      <c r="M28" s="396"/>
      <c r="N28" s="397"/>
      <c r="O28" s="397"/>
      <c r="P28" s="397"/>
      <c r="Q28" s="397"/>
      <c r="R28" s="397"/>
      <c r="S28" s="397"/>
      <c r="T28" s="397"/>
      <c r="U28" s="397"/>
      <c r="V28" s="397"/>
      <c r="W28" s="347"/>
      <c r="X28" s="397"/>
      <c r="Y28" s="397"/>
      <c r="Z28" s="397"/>
      <c r="AA28" s="397"/>
      <c r="AB28" s="397"/>
      <c r="AC28" s="397"/>
      <c r="AD28" s="397"/>
      <c r="AE28" s="398"/>
      <c r="AF28" s="398"/>
      <c r="AG28" s="398"/>
      <c r="AH28" s="360"/>
      <c r="AI28" s="360"/>
      <c r="AJ28" s="347"/>
    </row>
    <row r="29" spans="1:36" s="347" customFormat="1" ht="15">
      <c r="A29" s="594">
        <v>1</v>
      </c>
      <c r="B29" s="595" t="s">
        <v>1929</v>
      </c>
      <c r="C29" s="596">
        <f>SUMIFS(Obsluga_ludzie[Koszt miesięczny CAŁKOWITY wszystkich pracowników
'[zł/msc']],Obsluga_ludzie[Koszt w przeliczeniu na:],"Ryczałt dla Klienta")</f>
        <v>0</v>
      </c>
      <c r="D29" s="597">
        <v>0.1</v>
      </c>
      <c r="E29" s="596">
        <f>Podsumowanie_L[[#This Row],[Suma kosztów
'[zł/m-c']]]*(1+Podsumowanie_L[[#This Row],[Narzut
'[%']]])</f>
        <v>0</v>
      </c>
      <c r="F29" s="598">
        <f>Podsumowanie_L[[#This Row],[Obrót 
'[zł/m-c']]]-Podsumowanie_L[[#This Row],[Suma kosztów
'[zł/m-c']]]</f>
        <v>0</v>
      </c>
      <c r="G29" s="596">
        <f>Podsumowanie_L[[#This Row],[Suma kosztów
'[zł/m-c']]]*12</f>
        <v>0</v>
      </c>
      <c r="H29" s="599" t="e">
        <f>Podsumowanie_L[[#This Row],[Zysk
 '[zł/rok']]]/Podsumowanie_L[[#This Row],[Obrót 
'[zł/rok']]]</f>
        <v>#DIV/0!</v>
      </c>
      <c r="I29" s="596">
        <f>Podsumowanie_L[[#This Row],[Obrót 
'[zł/m-c']]]*12</f>
        <v>0</v>
      </c>
      <c r="J29" s="596">
        <f>Podsumowanie_L[[#This Row],[Zysk 
'[zł/m-c']]]*12</f>
        <v>0</v>
      </c>
      <c r="K29" s="344"/>
      <c r="L29" s="396"/>
      <c r="M29" s="396"/>
      <c r="N29" s="397"/>
      <c r="O29" s="397"/>
      <c r="P29" s="397"/>
      <c r="Q29" s="397"/>
      <c r="R29" s="397"/>
      <c r="S29" s="397"/>
      <c r="T29" s="397"/>
      <c r="U29" s="397"/>
      <c r="V29" s="397"/>
      <c r="X29" s="397"/>
      <c r="Y29" s="397"/>
      <c r="Z29" s="397"/>
      <c r="AA29" s="397"/>
      <c r="AB29" s="397"/>
      <c r="AC29" s="397"/>
      <c r="AD29" s="397"/>
      <c r="AE29" s="398"/>
      <c r="AF29" s="398"/>
      <c r="AG29" s="398"/>
      <c r="AH29" s="344"/>
      <c r="AI29" s="360"/>
    </row>
    <row r="30" spans="1:36" s="347" customFormat="1" ht="15.6">
      <c r="A30" s="545"/>
      <c r="B30" s="589" t="s">
        <v>2174</v>
      </c>
      <c r="C30" s="600">
        <f>SUBTOTAL(109,Podsumowanie_L[Suma kosztów
'[zł/m-c']])</f>
        <v>0</v>
      </c>
      <c r="D30" s="601" t="e">
        <f>Podsumowanie_L[[#Totals],[Zysk 
'[zł/m-c']]]/Podsumowanie_L[[#Totals],[Obrót 
'[zł/m-c']]]</f>
        <v>#DIV/0!</v>
      </c>
      <c r="E30" s="600">
        <f>SUBTOTAL(109,Podsumowanie_L[Obrót 
'[zł/m-c']])</f>
        <v>0</v>
      </c>
      <c r="F30" s="600">
        <f>SUBTOTAL(109,Podsumowanie_L[Zysk 
'[zł/m-c']])</f>
        <v>0</v>
      </c>
      <c r="G30" s="600">
        <f>SUBTOTAL(109,Podsumowanie_L[Suma kosztów
'[zł/rok']])</f>
        <v>0</v>
      </c>
      <c r="H30" s="601" t="e">
        <f>Podsumowanie_L[[#Totals],[Zysk
 '[zł/rok']]]/Podsumowanie_L[[#Totals],[Obrót 
'[zł/rok']]]</f>
        <v>#DIV/0!</v>
      </c>
      <c r="I30" s="600">
        <f>SUBTOTAL(109,Podsumowanie_L[Obrót 
'[zł/rok']])</f>
        <v>0</v>
      </c>
      <c r="J30" s="600">
        <f>SUBTOTAL(109,Podsumowanie_L[Zysk
 '[zł/rok']])</f>
        <v>0</v>
      </c>
      <c r="K30" s="344"/>
      <c r="L30" s="396"/>
      <c r="M30" s="396"/>
      <c r="N30" s="397"/>
      <c r="O30" s="397"/>
      <c r="P30" s="397"/>
      <c r="Q30" s="397"/>
      <c r="R30" s="397"/>
      <c r="S30" s="397"/>
      <c r="T30" s="397"/>
      <c r="U30" s="397"/>
      <c r="V30" s="397"/>
      <c r="X30" s="397"/>
      <c r="Y30" s="397"/>
      <c r="Z30" s="397"/>
      <c r="AA30" s="397"/>
      <c r="AB30" s="397"/>
      <c r="AC30" s="397"/>
      <c r="AD30" s="397"/>
      <c r="AE30" s="397"/>
      <c r="AF30" s="397"/>
      <c r="AG30" s="397"/>
      <c r="AH30" s="360"/>
      <c r="AI30" s="360"/>
    </row>
    <row r="31" spans="1:36" s="347" customFormat="1">
      <c r="A31" s="344"/>
      <c r="B31" s="344"/>
      <c r="C31" s="344"/>
      <c r="D31" s="344"/>
      <c r="E31" s="344"/>
      <c r="F31" s="344"/>
      <c r="G31" s="344"/>
      <c r="H31" s="344"/>
      <c r="I31" s="344"/>
      <c r="J31" s="344"/>
      <c r="K31" s="344"/>
      <c r="L31" s="360"/>
      <c r="M31" s="360"/>
      <c r="T31" s="132"/>
      <c r="AH31" s="360"/>
      <c r="AI31" s="360"/>
    </row>
    <row r="32" spans="1:36" s="347" customFormat="1">
      <c r="A32" s="344"/>
      <c r="B32" s="344"/>
      <c r="C32" s="344"/>
      <c r="D32" s="344"/>
      <c r="E32" s="344"/>
      <c r="F32" s="344"/>
      <c r="G32" s="344"/>
      <c r="H32" s="344"/>
      <c r="I32" s="344"/>
      <c r="J32" s="344"/>
      <c r="K32" s="344"/>
      <c r="L32" s="360"/>
      <c r="M32" s="360"/>
      <c r="T32" s="132"/>
      <c r="AH32" s="360"/>
      <c r="AI32" s="360"/>
    </row>
    <row r="33" spans="1:34" s="397" customFormat="1" ht="17.399999999999999">
      <c r="A33" s="689" t="s">
        <v>2683</v>
      </c>
      <c r="B33" s="689"/>
      <c r="C33" s="689"/>
      <c r="D33" s="689"/>
      <c r="E33" s="689"/>
      <c r="F33" s="344"/>
      <c r="G33" s="344"/>
      <c r="H33" s="344"/>
      <c r="I33" s="344"/>
      <c r="J33" s="344"/>
      <c r="K33" s="344"/>
      <c r="L33" s="360"/>
      <c r="M33" s="360"/>
      <c r="N33" s="347"/>
      <c r="O33" s="347"/>
      <c r="P33" s="347"/>
      <c r="Q33" s="347"/>
      <c r="R33" s="347"/>
      <c r="S33" s="347"/>
      <c r="T33" s="132"/>
      <c r="U33" s="347"/>
      <c r="V33" s="347"/>
      <c r="X33" s="347"/>
      <c r="Y33" s="347"/>
      <c r="Z33" s="347"/>
      <c r="AA33" s="347"/>
      <c r="AB33" s="347"/>
      <c r="AC33" s="347"/>
      <c r="AD33" s="347"/>
      <c r="AE33" s="347"/>
      <c r="AF33" s="347"/>
      <c r="AG33" s="347"/>
      <c r="AH33" s="396"/>
    </row>
    <row r="34" spans="1:34" s="397" customFormat="1" ht="30.6" customHeight="1">
      <c r="A34" s="602" t="s">
        <v>1025</v>
      </c>
      <c r="B34" s="602" t="s">
        <v>2169</v>
      </c>
      <c r="C34" s="602" t="s">
        <v>2167</v>
      </c>
      <c r="D34" s="602" t="s">
        <v>2477</v>
      </c>
      <c r="E34" s="602" t="s">
        <v>2476</v>
      </c>
      <c r="F34" s="344"/>
      <c r="G34" s="344"/>
      <c r="H34" s="344"/>
      <c r="I34" s="344"/>
      <c r="J34" s="344"/>
      <c r="K34" s="344"/>
      <c r="L34" s="344"/>
      <c r="M34" s="344"/>
      <c r="N34" s="360"/>
      <c r="O34" s="360"/>
      <c r="P34" s="360"/>
      <c r="Q34" s="347"/>
      <c r="R34" s="347"/>
      <c r="S34" s="347"/>
      <c r="T34" s="347"/>
      <c r="U34" s="347"/>
      <c r="V34" s="132"/>
      <c r="X34" s="347"/>
      <c r="Y34" s="347"/>
      <c r="Z34" s="347"/>
      <c r="AA34" s="347"/>
      <c r="AB34" s="347"/>
      <c r="AC34" s="347"/>
      <c r="AD34" s="347"/>
      <c r="AE34" s="347"/>
      <c r="AF34" s="347"/>
      <c r="AG34" s="347"/>
      <c r="AH34" s="396"/>
    </row>
    <row r="35" spans="1:34" s="397" customFormat="1" ht="15">
      <c r="A35" s="560"/>
      <c r="B35" s="560"/>
      <c r="C35" s="603"/>
      <c r="D35" s="562"/>
      <c r="E35" s="562"/>
      <c r="F35" s="399"/>
      <c r="G35" s="347"/>
      <c r="H35" s="344"/>
      <c r="I35" s="344"/>
      <c r="J35" s="344"/>
      <c r="K35" s="344"/>
      <c r="L35" s="344"/>
      <c r="M35" s="344"/>
      <c r="N35" s="360"/>
      <c r="O35" s="360"/>
      <c r="P35" s="360"/>
      <c r="Q35" s="347"/>
      <c r="R35" s="347"/>
      <c r="S35" s="347"/>
      <c r="T35" s="347"/>
      <c r="U35" s="347"/>
      <c r="V35" s="132"/>
      <c r="X35" s="347"/>
      <c r="Y35" s="347"/>
      <c r="Z35" s="347"/>
      <c r="AA35" s="347"/>
      <c r="AB35" s="347"/>
      <c r="AC35" s="347"/>
      <c r="AD35" s="347"/>
      <c r="AE35" s="347"/>
      <c r="AF35" s="347"/>
      <c r="AG35" s="347"/>
    </row>
    <row r="36" spans="1:34" s="347" customFormat="1" ht="15">
      <c r="A36" s="604" t="s">
        <v>2549</v>
      </c>
      <c r="B36" s="605"/>
      <c r="C36" s="605"/>
      <c r="D36" s="606"/>
      <c r="E36" s="607">
        <f>SUBTOTAL(109,Ryczałty_TL[Ryczałt całkowity '[zł/msc']])</f>
        <v>0</v>
      </c>
      <c r="F36" s="344"/>
      <c r="G36" s="344"/>
      <c r="H36" s="344"/>
      <c r="I36" s="344"/>
      <c r="J36" s="344"/>
      <c r="K36" s="344"/>
      <c r="L36" s="360"/>
      <c r="M36" s="360"/>
      <c r="T36" s="132"/>
    </row>
    <row r="37" spans="1:34" s="347" customFormat="1">
      <c r="A37" s="344"/>
      <c r="B37" s="344"/>
      <c r="C37" s="344"/>
      <c r="D37" s="344"/>
      <c r="E37" s="344"/>
      <c r="F37" s="344"/>
      <c r="G37" s="344"/>
      <c r="H37" s="344"/>
      <c r="I37" s="344"/>
      <c r="J37" s="344"/>
      <c r="K37" s="344"/>
      <c r="L37" s="360"/>
      <c r="M37" s="360"/>
      <c r="T37" s="132"/>
    </row>
    <row r="38" spans="1:34" s="347" customFormat="1">
      <c r="A38" s="344"/>
      <c r="B38" s="344"/>
      <c r="C38" s="344"/>
      <c r="D38" s="344"/>
      <c r="E38" s="344"/>
      <c r="F38" s="344"/>
      <c r="G38" s="344"/>
      <c r="H38" s="344"/>
      <c r="I38" s="344"/>
      <c r="J38" s="344"/>
      <c r="K38" s="344"/>
      <c r="L38" s="360"/>
      <c r="M38" s="360"/>
      <c r="T38" s="132"/>
    </row>
    <row r="39" spans="1:34" s="347" customFormat="1">
      <c r="A39" s="344"/>
      <c r="B39" s="344"/>
      <c r="C39" s="344"/>
      <c r="D39" s="344"/>
      <c r="E39" s="344"/>
      <c r="F39" s="344"/>
      <c r="G39" s="344"/>
      <c r="H39" s="344"/>
      <c r="I39" s="344"/>
      <c r="J39" s="344"/>
      <c r="K39" s="344"/>
      <c r="L39" s="360"/>
      <c r="M39" s="360"/>
      <c r="T39" s="132"/>
    </row>
    <row r="40" spans="1:34" s="347" customFormat="1">
      <c r="A40" s="344"/>
      <c r="B40" s="344"/>
      <c r="C40" s="344"/>
      <c r="D40" s="344"/>
      <c r="E40" s="344"/>
      <c r="F40" s="344"/>
      <c r="G40" s="344"/>
      <c r="H40" s="344"/>
      <c r="I40" s="344"/>
      <c r="J40" s="344"/>
      <c r="K40" s="359"/>
      <c r="L40" s="360"/>
      <c r="M40" s="360"/>
      <c r="T40" s="132"/>
    </row>
    <row r="41" spans="1:34" s="347" customFormat="1">
      <c r="A41" s="344"/>
      <c r="B41" s="344"/>
      <c r="C41" s="344"/>
      <c r="D41" s="344"/>
      <c r="E41" s="344"/>
      <c r="F41" s="344"/>
      <c r="G41" s="344"/>
      <c r="H41" s="344"/>
      <c r="I41" s="344"/>
      <c r="J41" s="344"/>
      <c r="K41" s="359"/>
      <c r="L41" s="360"/>
      <c r="M41" s="360"/>
      <c r="T41" s="132"/>
    </row>
    <row r="42" spans="1:34" s="347" customFormat="1">
      <c r="A42" s="344"/>
      <c r="B42" s="344"/>
      <c r="C42" s="344"/>
      <c r="D42" s="344"/>
      <c r="E42" s="344"/>
      <c r="F42" s="344"/>
      <c r="G42" s="344"/>
      <c r="H42" s="344"/>
      <c r="I42" s="344"/>
      <c r="J42" s="344"/>
      <c r="K42" s="359"/>
      <c r="L42" s="360"/>
      <c r="M42" s="360"/>
      <c r="T42" s="132"/>
    </row>
    <row r="43" spans="1:34" s="347" customFormat="1">
      <c r="A43" s="344"/>
      <c r="B43" s="344"/>
      <c r="C43" s="344"/>
      <c r="D43" s="344"/>
      <c r="E43" s="344"/>
      <c r="F43" s="344"/>
      <c r="G43" s="344"/>
      <c r="H43" s="344"/>
      <c r="I43" s="344"/>
      <c r="J43" s="344"/>
      <c r="K43" s="359"/>
      <c r="L43" s="360"/>
      <c r="M43" s="360"/>
      <c r="T43" s="132"/>
    </row>
    <row r="44" spans="1:34" s="347" customFormat="1">
      <c r="A44" s="344"/>
      <c r="B44" s="344"/>
      <c r="C44" s="344"/>
      <c r="D44" s="344"/>
      <c r="E44" s="344"/>
      <c r="F44" s="344"/>
      <c r="G44" s="344"/>
      <c r="H44" s="344"/>
      <c r="I44" s="344"/>
      <c r="J44" s="344"/>
      <c r="K44" s="359"/>
      <c r="L44" s="360"/>
      <c r="M44" s="360"/>
      <c r="T44" s="132"/>
    </row>
    <row r="45" spans="1:34" s="347" customFormat="1">
      <c r="A45" s="344"/>
      <c r="B45" s="344"/>
      <c r="C45" s="344"/>
      <c r="D45" s="344"/>
      <c r="E45" s="344"/>
      <c r="F45" s="344"/>
      <c r="G45" s="344"/>
      <c r="H45" s="344"/>
      <c r="I45" s="344"/>
      <c r="J45" s="344"/>
      <c r="K45" s="359"/>
      <c r="L45" s="360"/>
      <c r="M45" s="360"/>
      <c r="T45" s="132"/>
    </row>
    <row r="46" spans="1:34" s="347" customFormat="1">
      <c r="A46" s="344"/>
      <c r="B46" s="344"/>
      <c r="C46" s="344"/>
      <c r="D46" s="344"/>
      <c r="E46" s="344"/>
      <c r="F46" s="344"/>
      <c r="G46" s="344"/>
      <c r="H46" s="344"/>
      <c r="I46" s="344"/>
      <c r="J46" s="344"/>
      <c r="K46" s="344"/>
      <c r="L46" s="360"/>
      <c r="M46" s="360"/>
      <c r="T46" s="132"/>
    </row>
    <row r="47" spans="1:34" s="347" customFormat="1">
      <c r="A47" s="344"/>
      <c r="B47" s="344"/>
      <c r="C47" s="344"/>
      <c r="D47" s="344"/>
      <c r="E47" s="344"/>
      <c r="F47" s="344"/>
      <c r="G47" s="344"/>
      <c r="H47" s="344"/>
      <c r="I47" s="344"/>
      <c r="J47" s="344"/>
      <c r="K47" s="344"/>
      <c r="L47" s="360"/>
      <c r="M47" s="360"/>
      <c r="T47" s="132"/>
    </row>
    <row r="48" spans="1:34" s="347" customFormat="1">
      <c r="A48" s="344"/>
      <c r="B48" s="344"/>
      <c r="C48" s="344"/>
      <c r="D48" s="344"/>
      <c r="E48" s="344"/>
      <c r="F48" s="344"/>
      <c r="G48" s="344"/>
      <c r="H48" s="344"/>
      <c r="I48" s="344"/>
      <c r="J48" s="344"/>
      <c r="K48" s="344"/>
      <c r="L48" s="360"/>
      <c r="M48" s="360"/>
      <c r="T48" s="132"/>
    </row>
    <row r="49" spans="1:20" s="347" customFormat="1">
      <c r="A49" s="344"/>
      <c r="B49" s="344"/>
      <c r="C49" s="344"/>
      <c r="D49" s="344"/>
      <c r="E49" s="344"/>
      <c r="F49" s="344"/>
      <c r="G49" s="344"/>
      <c r="H49" s="344"/>
      <c r="I49" s="344"/>
      <c r="J49" s="344"/>
      <c r="K49" s="344"/>
      <c r="L49" s="360"/>
      <c r="M49" s="360"/>
      <c r="T49" s="132"/>
    </row>
    <row r="50" spans="1:20" s="347" customFormat="1">
      <c r="A50" s="344"/>
      <c r="B50" s="344"/>
      <c r="C50" s="344"/>
      <c r="D50" s="344"/>
      <c r="E50" s="344"/>
      <c r="F50" s="344"/>
      <c r="G50" s="344"/>
      <c r="H50" s="344"/>
      <c r="I50" s="344"/>
      <c r="J50" s="344"/>
      <c r="K50" s="344"/>
      <c r="L50" s="360"/>
      <c r="M50" s="360"/>
      <c r="T50" s="132"/>
    </row>
    <row r="51" spans="1:20" s="347" customFormat="1">
      <c r="A51" s="344"/>
      <c r="B51" s="344"/>
      <c r="C51" s="344"/>
      <c r="D51" s="344"/>
      <c r="E51" s="344"/>
      <c r="F51" s="344"/>
      <c r="G51" s="344"/>
      <c r="H51" s="344"/>
      <c r="I51" s="344"/>
      <c r="J51" s="344"/>
      <c r="K51" s="344"/>
      <c r="L51" s="360"/>
      <c r="M51" s="360"/>
      <c r="T51" s="132"/>
    </row>
    <row r="52" spans="1:20" s="347" customFormat="1">
      <c r="A52" s="344"/>
      <c r="B52" s="344"/>
      <c r="C52" s="344"/>
      <c r="D52" s="344"/>
      <c r="E52" s="344"/>
      <c r="F52" s="344"/>
      <c r="G52" s="344"/>
      <c r="H52" s="344"/>
      <c r="I52" s="344"/>
      <c r="J52" s="344"/>
      <c r="K52" s="344"/>
      <c r="L52" s="360"/>
      <c r="M52" s="360"/>
      <c r="T52" s="132"/>
    </row>
    <row r="53" spans="1:20" s="347" customFormat="1">
      <c r="F53" s="344"/>
      <c r="G53" s="344"/>
      <c r="H53" s="344"/>
      <c r="I53" s="344"/>
      <c r="J53" s="344"/>
      <c r="K53" s="344"/>
      <c r="L53" s="360"/>
      <c r="M53" s="360"/>
      <c r="T53" s="132"/>
    </row>
    <row r="54" spans="1:20" s="347" customFormat="1">
      <c r="F54" s="344"/>
      <c r="G54" s="344"/>
      <c r="H54" s="344"/>
      <c r="I54" s="344"/>
      <c r="J54" s="344"/>
      <c r="K54" s="344"/>
      <c r="L54" s="360"/>
      <c r="M54" s="360"/>
      <c r="T54" s="132"/>
    </row>
    <row r="55" spans="1:20" s="347" customFormat="1">
      <c r="K55" s="344"/>
      <c r="L55" s="360"/>
      <c r="M55" s="360"/>
      <c r="T55" s="132"/>
    </row>
    <row r="56" spans="1:20" s="347" customFormat="1">
      <c r="K56" s="344"/>
      <c r="L56" s="360"/>
      <c r="M56" s="360"/>
      <c r="T56" s="132"/>
    </row>
    <row r="57" spans="1:20" s="347" customFormat="1">
      <c r="K57" s="344"/>
      <c r="L57" s="360"/>
      <c r="M57" s="360"/>
      <c r="T57" s="132"/>
    </row>
    <row r="58" spans="1:20" s="347" customFormat="1">
      <c r="K58" s="344"/>
      <c r="L58" s="360"/>
      <c r="M58" s="360"/>
      <c r="T58" s="132"/>
    </row>
    <row r="59" spans="1:20" s="347" customFormat="1">
      <c r="K59" s="344"/>
      <c r="L59" s="360"/>
      <c r="M59" s="360"/>
      <c r="T59" s="132"/>
    </row>
    <row r="60" spans="1:20" s="347" customFormat="1">
      <c r="A60" s="344"/>
      <c r="B60" s="344"/>
      <c r="C60" s="344"/>
      <c r="D60" s="344"/>
      <c r="E60" s="344"/>
      <c r="K60" s="344"/>
      <c r="L60" s="360"/>
      <c r="M60" s="360"/>
      <c r="T60" s="132"/>
    </row>
    <row r="61" spans="1:20" s="347" customFormat="1">
      <c r="A61" s="344"/>
      <c r="B61" s="344"/>
      <c r="C61" s="344"/>
      <c r="D61" s="344"/>
      <c r="E61" s="344"/>
      <c r="K61" s="344"/>
      <c r="L61" s="360"/>
      <c r="M61" s="360"/>
      <c r="T61" s="132"/>
    </row>
    <row r="62" spans="1:20" s="347" customFormat="1">
      <c r="A62" s="344"/>
      <c r="B62" s="344"/>
      <c r="C62" s="344"/>
      <c r="D62" s="344"/>
      <c r="E62" s="344"/>
      <c r="F62" s="344"/>
      <c r="G62" s="344"/>
      <c r="H62" s="344"/>
      <c r="I62" s="344"/>
      <c r="J62" s="344"/>
      <c r="K62" s="344"/>
      <c r="L62" s="360"/>
      <c r="M62" s="360"/>
      <c r="T62" s="132"/>
    </row>
    <row r="63" spans="1:20" s="347" customFormat="1">
      <c r="A63" s="344"/>
      <c r="B63" s="344"/>
      <c r="C63" s="344"/>
      <c r="D63" s="344"/>
      <c r="E63" s="344"/>
      <c r="F63" s="344"/>
      <c r="G63" s="344"/>
      <c r="H63" s="344"/>
      <c r="I63" s="344"/>
      <c r="J63" s="344"/>
      <c r="K63" s="344"/>
      <c r="L63" s="360"/>
      <c r="M63" s="360"/>
      <c r="T63" s="132"/>
    </row>
    <row r="64" spans="1:20" s="347" customFormat="1">
      <c r="A64" s="344"/>
      <c r="B64" s="344"/>
      <c r="C64" s="344"/>
      <c r="D64" s="344"/>
      <c r="E64" s="344"/>
      <c r="F64" s="344"/>
      <c r="G64" s="344"/>
      <c r="H64" s="344"/>
      <c r="I64" s="344"/>
      <c r="J64" s="344"/>
      <c r="K64" s="344"/>
      <c r="L64" s="360"/>
      <c r="M64" s="360"/>
      <c r="T64" s="132"/>
    </row>
    <row r="65" spans="1:20" s="347" customFormat="1">
      <c r="A65" s="344"/>
      <c r="B65" s="344"/>
      <c r="C65" s="344"/>
      <c r="D65" s="344"/>
      <c r="E65" s="344"/>
      <c r="F65" s="344"/>
      <c r="G65" s="344"/>
      <c r="H65" s="344"/>
      <c r="I65" s="344"/>
      <c r="J65" s="344"/>
      <c r="K65" s="344"/>
      <c r="L65" s="360"/>
      <c r="M65" s="360"/>
      <c r="T65" s="132"/>
    </row>
    <row r="66" spans="1:20" s="347" customFormat="1">
      <c r="A66" s="344"/>
      <c r="B66" s="344"/>
      <c r="C66" s="344"/>
      <c r="D66" s="344"/>
      <c r="E66" s="344"/>
      <c r="F66" s="344"/>
      <c r="G66" s="344"/>
      <c r="H66" s="344"/>
      <c r="I66" s="344"/>
      <c r="J66" s="344"/>
      <c r="K66" s="344"/>
      <c r="L66" s="360"/>
      <c r="M66" s="360"/>
      <c r="T66" s="132"/>
    </row>
    <row r="67" spans="1:20" s="347" customFormat="1">
      <c r="A67" s="344"/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60"/>
      <c r="M67" s="360"/>
      <c r="T67" s="132"/>
    </row>
    <row r="68" spans="1:20" s="347" customFormat="1">
      <c r="A68" s="344"/>
      <c r="B68" s="344"/>
      <c r="C68" s="344"/>
      <c r="D68" s="344"/>
      <c r="E68" s="344"/>
      <c r="F68" s="344"/>
      <c r="G68" s="344"/>
      <c r="H68" s="344"/>
      <c r="I68" s="344"/>
      <c r="J68" s="344"/>
      <c r="K68" s="344"/>
      <c r="L68" s="360"/>
      <c r="M68" s="360"/>
      <c r="T68" s="132"/>
    </row>
    <row r="69" spans="1:20" s="347" customFormat="1">
      <c r="A69" s="344"/>
      <c r="B69" s="344"/>
      <c r="C69" s="344"/>
      <c r="D69" s="344"/>
      <c r="E69" s="344"/>
      <c r="F69" s="344"/>
      <c r="G69" s="344"/>
      <c r="H69" s="344"/>
      <c r="I69" s="344"/>
      <c r="J69" s="344"/>
      <c r="K69" s="344"/>
      <c r="L69" s="360"/>
      <c r="M69" s="360"/>
      <c r="T69" s="132"/>
    </row>
    <row r="70" spans="1:20" s="347" customFormat="1">
      <c r="A70" s="344"/>
      <c r="B70" s="344"/>
      <c r="C70" s="344"/>
      <c r="D70" s="344"/>
      <c r="E70" s="344"/>
      <c r="F70" s="344"/>
      <c r="G70" s="344"/>
      <c r="H70" s="344"/>
      <c r="I70" s="344"/>
      <c r="J70" s="344"/>
      <c r="K70" s="344"/>
      <c r="L70" s="360"/>
      <c r="M70" s="360"/>
      <c r="T70" s="132"/>
    </row>
    <row r="71" spans="1:20" s="347" customFormat="1">
      <c r="A71" s="344"/>
      <c r="B71" s="344"/>
      <c r="C71" s="344"/>
      <c r="D71" s="344"/>
      <c r="E71" s="344"/>
      <c r="F71" s="344"/>
      <c r="G71" s="344"/>
      <c r="H71" s="344"/>
      <c r="I71" s="344"/>
      <c r="J71" s="344"/>
      <c r="K71" s="344"/>
      <c r="L71" s="360"/>
      <c r="M71" s="360"/>
      <c r="T71" s="132"/>
    </row>
    <row r="72" spans="1:20" s="347" customFormat="1">
      <c r="A72" s="344"/>
      <c r="B72" s="344"/>
      <c r="C72" s="344"/>
      <c r="D72" s="344"/>
      <c r="E72" s="344"/>
      <c r="F72" s="344"/>
      <c r="G72" s="344"/>
      <c r="H72" s="344"/>
      <c r="I72" s="344"/>
      <c r="J72" s="344"/>
      <c r="K72" s="344"/>
      <c r="L72" s="360"/>
      <c r="M72" s="360"/>
      <c r="T72" s="132"/>
    </row>
    <row r="73" spans="1:20" s="347" customFormat="1">
      <c r="A73" s="344"/>
      <c r="B73" s="344"/>
      <c r="C73" s="344"/>
      <c r="D73" s="344"/>
      <c r="E73" s="344"/>
      <c r="F73" s="344"/>
      <c r="G73" s="344"/>
      <c r="H73" s="344"/>
      <c r="I73" s="344"/>
      <c r="J73" s="344"/>
      <c r="K73" s="344"/>
      <c r="L73" s="360"/>
      <c r="M73" s="360"/>
      <c r="T73" s="132"/>
    </row>
    <row r="74" spans="1:20" s="347" customFormat="1">
      <c r="A74" s="344"/>
      <c r="B74" s="344"/>
      <c r="C74" s="344"/>
      <c r="D74" s="344"/>
      <c r="E74" s="344"/>
      <c r="F74" s="344"/>
      <c r="G74" s="344"/>
      <c r="H74" s="344"/>
      <c r="I74" s="344"/>
      <c r="J74" s="344"/>
      <c r="K74" s="344"/>
      <c r="L74" s="360"/>
      <c r="M74" s="360"/>
      <c r="T74" s="132"/>
    </row>
    <row r="75" spans="1:20" s="347" customFormat="1">
      <c r="A75" s="344"/>
      <c r="B75" s="344"/>
      <c r="C75" s="344"/>
      <c r="D75" s="344"/>
      <c r="E75" s="344"/>
      <c r="F75" s="344"/>
      <c r="G75" s="344"/>
      <c r="H75" s="344"/>
      <c r="I75" s="344"/>
      <c r="J75" s="344"/>
      <c r="K75" s="344"/>
      <c r="L75" s="360"/>
      <c r="M75" s="360"/>
      <c r="T75" s="132"/>
    </row>
    <row r="76" spans="1:20" s="347" customFormat="1">
      <c r="A76" s="344"/>
      <c r="B76" s="344"/>
      <c r="C76" s="344"/>
      <c r="D76" s="344"/>
      <c r="E76" s="344"/>
      <c r="F76" s="344"/>
      <c r="G76" s="344"/>
      <c r="H76" s="344"/>
      <c r="I76" s="344"/>
      <c r="J76" s="344"/>
      <c r="K76" s="344"/>
      <c r="L76" s="360"/>
      <c r="M76" s="360"/>
      <c r="T76" s="132"/>
    </row>
    <row r="77" spans="1:20" s="347" customFormat="1">
      <c r="A77" s="344"/>
      <c r="B77" s="344"/>
      <c r="C77" s="344"/>
      <c r="D77" s="344"/>
      <c r="E77" s="344"/>
      <c r="F77" s="344"/>
      <c r="G77" s="344"/>
      <c r="H77" s="344"/>
      <c r="I77" s="344"/>
      <c r="J77" s="344"/>
      <c r="K77" s="344"/>
      <c r="L77" s="360"/>
      <c r="M77" s="360"/>
      <c r="T77" s="132"/>
    </row>
    <row r="78" spans="1:20" s="347" customFormat="1">
      <c r="A78" s="344"/>
      <c r="B78" s="344"/>
      <c r="C78" s="344"/>
      <c r="D78" s="344"/>
      <c r="E78" s="344"/>
      <c r="F78" s="344"/>
      <c r="G78" s="344"/>
      <c r="H78" s="344"/>
      <c r="I78" s="344"/>
      <c r="J78" s="344"/>
      <c r="K78" s="344"/>
      <c r="L78" s="360"/>
      <c r="M78" s="360"/>
      <c r="T78" s="132"/>
    </row>
    <row r="79" spans="1:20" s="347" customFormat="1">
      <c r="A79" s="344"/>
      <c r="B79" s="344"/>
      <c r="C79" s="344"/>
      <c r="D79" s="344"/>
      <c r="E79" s="344"/>
      <c r="F79" s="344"/>
      <c r="G79" s="344"/>
      <c r="H79" s="344"/>
      <c r="I79" s="344"/>
      <c r="J79" s="344"/>
      <c r="K79" s="344"/>
      <c r="L79" s="360"/>
      <c r="M79" s="360"/>
      <c r="T79" s="132"/>
    </row>
    <row r="80" spans="1:20" s="347" customFormat="1">
      <c r="A80" s="344"/>
      <c r="B80" s="344"/>
      <c r="C80" s="344"/>
      <c r="D80" s="344"/>
      <c r="E80" s="344"/>
      <c r="F80" s="344"/>
      <c r="G80" s="344"/>
      <c r="H80" s="344"/>
      <c r="I80" s="344"/>
      <c r="J80" s="344"/>
      <c r="K80" s="344"/>
      <c r="L80" s="360"/>
      <c r="M80" s="360"/>
      <c r="T80" s="132"/>
    </row>
    <row r="81" spans="1:20" s="347" customFormat="1">
      <c r="A81" s="344"/>
      <c r="B81" s="344"/>
      <c r="C81" s="344"/>
      <c r="D81" s="344"/>
      <c r="E81" s="344"/>
      <c r="F81" s="344"/>
      <c r="G81" s="344"/>
      <c r="H81" s="344"/>
      <c r="I81" s="344"/>
      <c r="J81" s="344"/>
      <c r="K81" s="344"/>
      <c r="L81" s="360"/>
      <c r="M81" s="360"/>
      <c r="T81" s="132"/>
    </row>
    <row r="82" spans="1:20" s="347" customFormat="1">
      <c r="A82" s="344"/>
      <c r="B82" s="344"/>
      <c r="C82" s="344"/>
      <c r="D82" s="344"/>
      <c r="E82" s="344"/>
      <c r="F82" s="344"/>
      <c r="G82" s="344"/>
      <c r="H82" s="344"/>
      <c r="I82" s="344"/>
      <c r="J82" s="344"/>
      <c r="K82" s="344"/>
      <c r="L82" s="360"/>
      <c r="M82" s="360"/>
      <c r="T82" s="132"/>
    </row>
    <row r="83" spans="1:20" s="347" customFormat="1">
      <c r="A83" s="344"/>
      <c r="B83" s="344"/>
      <c r="C83" s="344"/>
      <c r="D83" s="344"/>
      <c r="E83" s="344"/>
      <c r="F83" s="344"/>
      <c r="G83" s="344"/>
      <c r="H83" s="344"/>
      <c r="I83" s="344"/>
      <c r="J83" s="344"/>
      <c r="K83" s="344"/>
      <c r="L83" s="360"/>
      <c r="M83" s="360"/>
      <c r="T83" s="132"/>
    </row>
    <row r="84" spans="1:20" s="347" customFormat="1">
      <c r="A84" s="344"/>
      <c r="B84" s="344"/>
      <c r="C84" s="344"/>
      <c r="D84" s="344"/>
      <c r="E84" s="344"/>
      <c r="F84" s="344"/>
      <c r="G84" s="344"/>
      <c r="H84" s="344"/>
      <c r="I84" s="344"/>
      <c r="J84" s="344"/>
      <c r="K84" s="344"/>
      <c r="L84" s="360"/>
      <c r="M84" s="360"/>
      <c r="T84" s="132"/>
    </row>
    <row r="85" spans="1:20" s="347" customFormat="1">
      <c r="A85" s="344"/>
      <c r="B85" s="344"/>
      <c r="C85" s="344"/>
      <c r="D85" s="344"/>
      <c r="E85" s="344"/>
      <c r="F85" s="344"/>
      <c r="G85" s="344"/>
      <c r="H85" s="344"/>
      <c r="I85" s="344"/>
      <c r="J85" s="344"/>
      <c r="K85" s="344"/>
      <c r="L85" s="360"/>
      <c r="M85" s="360"/>
      <c r="T85" s="132"/>
    </row>
    <row r="86" spans="1:20" s="347" customFormat="1">
      <c r="A86" s="344"/>
      <c r="B86" s="344"/>
      <c r="C86" s="344"/>
      <c r="D86" s="344"/>
      <c r="E86" s="344"/>
      <c r="F86" s="344"/>
      <c r="G86" s="344"/>
      <c r="H86" s="344"/>
      <c r="I86" s="344"/>
      <c r="J86" s="344"/>
      <c r="K86" s="344"/>
      <c r="L86" s="360"/>
      <c r="M86" s="360"/>
      <c r="T86" s="132"/>
    </row>
    <row r="87" spans="1:20" s="347" customFormat="1">
      <c r="A87" s="344"/>
      <c r="B87" s="344"/>
      <c r="C87" s="344"/>
      <c r="D87" s="344"/>
      <c r="E87" s="344"/>
      <c r="F87" s="344"/>
      <c r="G87" s="344"/>
      <c r="H87" s="344"/>
      <c r="I87" s="344"/>
      <c r="J87" s="344"/>
      <c r="K87" s="344"/>
      <c r="L87" s="360"/>
      <c r="M87" s="360"/>
      <c r="T87" s="132"/>
    </row>
    <row r="88" spans="1:20" s="347" customFormat="1">
      <c r="A88" s="344"/>
      <c r="B88" s="344"/>
      <c r="C88" s="344"/>
      <c r="D88" s="344"/>
      <c r="E88" s="344"/>
      <c r="F88" s="344"/>
      <c r="G88" s="344"/>
      <c r="H88" s="344"/>
      <c r="I88" s="344"/>
      <c r="J88" s="344"/>
      <c r="K88" s="344"/>
      <c r="L88" s="360"/>
      <c r="M88" s="360"/>
      <c r="T88" s="132"/>
    </row>
    <row r="89" spans="1:20" s="347" customFormat="1">
      <c r="A89" s="344"/>
      <c r="B89" s="344"/>
      <c r="C89" s="344"/>
      <c r="D89" s="344"/>
      <c r="E89" s="344"/>
      <c r="F89" s="344"/>
      <c r="G89" s="344"/>
      <c r="H89" s="344"/>
      <c r="I89" s="344"/>
      <c r="J89" s="344"/>
      <c r="K89" s="344"/>
      <c r="L89" s="360"/>
      <c r="M89" s="360"/>
      <c r="T89" s="132"/>
    </row>
    <row r="90" spans="1:20" s="347" customFormat="1">
      <c r="A90" s="344"/>
      <c r="B90" s="344"/>
      <c r="C90" s="344"/>
      <c r="D90" s="344"/>
      <c r="E90" s="344"/>
      <c r="F90" s="344"/>
      <c r="G90" s="344"/>
      <c r="H90" s="344"/>
      <c r="I90" s="344"/>
      <c r="J90" s="344"/>
      <c r="K90" s="344"/>
      <c r="L90" s="360"/>
      <c r="M90" s="360"/>
      <c r="T90" s="132"/>
    </row>
    <row r="91" spans="1:20" s="347" customFormat="1">
      <c r="A91" s="344"/>
      <c r="B91" s="344"/>
      <c r="C91" s="344"/>
      <c r="D91" s="344"/>
      <c r="E91" s="344"/>
      <c r="F91" s="344"/>
      <c r="G91" s="344"/>
      <c r="H91" s="344"/>
      <c r="I91" s="344"/>
      <c r="J91" s="344"/>
      <c r="K91" s="344"/>
      <c r="L91" s="360"/>
      <c r="M91" s="360"/>
      <c r="T91" s="132"/>
    </row>
    <row r="92" spans="1:20" s="347" customFormat="1">
      <c r="A92" s="344"/>
      <c r="B92" s="344"/>
      <c r="C92" s="344"/>
      <c r="D92" s="344"/>
      <c r="E92" s="344"/>
      <c r="F92" s="344"/>
      <c r="G92" s="344"/>
      <c r="H92" s="344"/>
      <c r="I92" s="344"/>
      <c r="J92" s="344"/>
      <c r="K92" s="344"/>
      <c r="L92" s="360"/>
      <c r="M92" s="360"/>
      <c r="T92" s="132"/>
    </row>
    <row r="93" spans="1:20" s="347" customFormat="1">
      <c r="A93" s="344"/>
      <c r="B93" s="344"/>
      <c r="C93" s="344"/>
      <c r="D93" s="344"/>
      <c r="E93" s="344"/>
      <c r="F93" s="344"/>
      <c r="G93" s="344"/>
      <c r="H93" s="344"/>
      <c r="I93" s="344"/>
      <c r="J93" s="344"/>
      <c r="K93" s="344"/>
      <c r="L93" s="360"/>
      <c r="M93" s="360"/>
      <c r="T93" s="132"/>
    </row>
    <row r="94" spans="1:20" s="347" customFormat="1">
      <c r="A94" s="344"/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60"/>
      <c r="M94" s="360"/>
      <c r="T94" s="132"/>
    </row>
    <row r="95" spans="1:20" s="347" customFormat="1">
      <c r="A95" s="344"/>
      <c r="B95" s="344"/>
      <c r="C95" s="344"/>
      <c r="D95" s="344"/>
      <c r="E95" s="344"/>
      <c r="F95" s="344"/>
      <c r="G95" s="344"/>
      <c r="H95" s="344"/>
      <c r="I95" s="344"/>
      <c r="J95" s="344"/>
      <c r="K95" s="344"/>
      <c r="L95" s="360"/>
      <c r="M95" s="360"/>
      <c r="T95" s="132"/>
    </row>
    <row r="96" spans="1:20" s="347" customFormat="1">
      <c r="A96" s="344"/>
      <c r="B96" s="344"/>
      <c r="C96" s="344"/>
      <c r="D96" s="344"/>
      <c r="E96" s="344"/>
      <c r="F96" s="344"/>
      <c r="G96" s="344"/>
      <c r="H96" s="344"/>
      <c r="I96" s="344"/>
      <c r="J96" s="344"/>
      <c r="K96" s="344"/>
      <c r="L96" s="360"/>
      <c r="M96" s="360"/>
      <c r="T96" s="132"/>
    </row>
    <row r="97" spans="1:20" s="347" customFormat="1">
      <c r="A97" s="344"/>
      <c r="B97" s="344"/>
      <c r="C97" s="344"/>
      <c r="D97" s="344"/>
      <c r="E97" s="344"/>
      <c r="F97" s="344"/>
      <c r="G97" s="344"/>
      <c r="H97" s="344"/>
      <c r="I97" s="344"/>
      <c r="J97" s="344"/>
      <c r="K97" s="344"/>
      <c r="L97" s="360"/>
      <c r="M97" s="360"/>
      <c r="T97" s="132"/>
    </row>
    <row r="98" spans="1:20" s="347" customFormat="1">
      <c r="A98" s="344"/>
      <c r="B98" s="344"/>
      <c r="C98" s="344"/>
      <c r="D98" s="344"/>
      <c r="E98" s="344"/>
      <c r="F98" s="344"/>
      <c r="G98" s="344"/>
      <c r="H98" s="344"/>
      <c r="I98" s="344"/>
      <c r="J98" s="344"/>
      <c r="K98" s="344"/>
      <c r="L98" s="360"/>
      <c r="M98" s="360"/>
      <c r="T98" s="132"/>
    </row>
    <row r="99" spans="1:20" s="347" customFormat="1">
      <c r="A99" s="344"/>
      <c r="B99" s="344"/>
      <c r="C99" s="344"/>
      <c r="D99" s="344"/>
      <c r="E99" s="344"/>
      <c r="F99" s="344"/>
      <c r="G99" s="344"/>
      <c r="H99" s="344"/>
      <c r="I99" s="344"/>
      <c r="J99" s="344"/>
      <c r="K99" s="344"/>
      <c r="L99" s="360"/>
      <c r="M99" s="360"/>
      <c r="T99" s="132"/>
    </row>
    <row r="100" spans="1:20" s="347" customFormat="1">
      <c r="A100" s="344"/>
      <c r="B100" s="344"/>
      <c r="C100" s="344"/>
      <c r="D100" s="344"/>
      <c r="E100" s="344"/>
      <c r="F100" s="344"/>
      <c r="G100" s="344"/>
      <c r="H100" s="344"/>
      <c r="I100" s="344"/>
      <c r="J100" s="344"/>
      <c r="K100" s="344"/>
      <c r="L100" s="360"/>
      <c r="M100" s="360"/>
      <c r="T100" s="132"/>
    </row>
    <row r="101" spans="1:20" s="347" customFormat="1">
      <c r="A101" s="344"/>
      <c r="B101" s="344"/>
      <c r="C101" s="344"/>
      <c r="D101" s="344"/>
      <c r="E101" s="344"/>
      <c r="F101" s="344"/>
      <c r="G101" s="344"/>
      <c r="H101" s="344"/>
      <c r="I101" s="344"/>
      <c r="J101" s="344"/>
      <c r="K101" s="344"/>
      <c r="L101" s="360"/>
      <c r="M101" s="360"/>
      <c r="T101" s="132"/>
    </row>
    <row r="102" spans="1:20" s="347" customFormat="1">
      <c r="A102" s="344"/>
      <c r="B102" s="344"/>
      <c r="C102" s="344"/>
      <c r="D102" s="344"/>
      <c r="E102" s="344"/>
      <c r="F102" s="344"/>
      <c r="G102" s="344"/>
      <c r="H102" s="344"/>
      <c r="I102" s="344"/>
      <c r="J102" s="344"/>
      <c r="K102" s="344"/>
      <c r="L102" s="360"/>
      <c r="M102" s="360"/>
      <c r="T102" s="132"/>
    </row>
    <row r="103" spans="1:20" s="347" customFormat="1">
      <c r="A103" s="344"/>
      <c r="B103" s="344"/>
      <c r="C103" s="344"/>
      <c r="D103" s="344"/>
      <c r="E103" s="344"/>
      <c r="F103" s="344"/>
      <c r="G103" s="344"/>
      <c r="H103" s="344"/>
      <c r="I103" s="344"/>
      <c r="J103" s="344"/>
      <c r="K103" s="344"/>
      <c r="L103" s="360"/>
      <c r="M103" s="360"/>
      <c r="T103" s="132"/>
    </row>
    <row r="104" spans="1:20" s="347" customFormat="1">
      <c r="A104" s="344"/>
      <c r="B104" s="344"/>
      <c r="C104" s="344"/>
      <c r="D104" s="344"/>
      <c r="E104" s="344"/>
      <c r="F104" s="344"/>
      <c r="G104" s="344"/>
      <c r="H104" s="344"/>
      <c r="I104" s="344"/>
      <c r="J104" s="344"/>
      <c r="K104" s="344"/>
      <c r="L104" s="360"/>
      <c r="M104" s="360"/>
      <c r="T104" s="132"/>
    </row>
    <row r="105" spans="1:20" s="347" customFormat="1">
      <c r="A105" s="344"/>
      <c r="B105" s="344"/>
      <c r="C105" s="344"/>
      <c r="D105" s="344"/>
      <c r="E105" s="344"/>
      <c r="F105" s="344"/>
      <c r="G105" s="344"/>
      <c r="H105" s="344"/>
      <c r="I105" s="344"/>
      <c r="J105" s="344"/>
      <c r="K105" s="344"/>
      <c r="L105" s="360"/>
      <c r="M105" s="360"/>
      <c r="T105" s="132"/>
    </row>
    <row r="106" spans="1:20" s="347" customFormat="1">
      <c r="A106" s="344"/>
      <c r="B106" s="344"/>
      <c r="C106" s="344"/>
      <c r="D106" s="344"/>
      <c r="E106" s="344"/>
      <c r="F106" s="344"/>
      <c r="G106" s="344"/>
      <c r="H106" s="344"/>
      <c r="I106" s="344"/>
      <c r="J106" s="344"/>
      <c r="K106" s="344"/>
      <c r="L106" s="360"/>
      <c r="M106" s="360"/>
      <c r="T106" s="132"/>
    </row>
    <row r="107" spans="1:20" s="347" customFormat="1">
      <c r="A107" s="344"/>
      <c r="B107" s="344"/>
      <c r="C107" s="344"/>
      <c r="D107" s="344"/>
      <c r="E107" s="344"/>
      <c r="F107" s="344"/>
      <c r="G107" s="344"/>
      <c r="H107" s="344"/>
      <c r="I107" s="344"/>
      <c r="J107" s="344"/>
      <c r="K107" s="344"/>
      <c r="L107" s="360"/>
      <c r="M107" s="360"/>
      <c r="T107" s="132"/>
    </row>
    <row r="108" spans="1:20" s="347" customFormat="1">
      <c r="A108" s="344"/>
      <c r="B108" s="344"/>
      <c r="C108" s="344"/>
      <c r="D108" s="344"/>
      <c r="E108" s="344"/>
      <c r="F108" s="344"/>
      <c r="G108" s="344"/>
      <c r="H108" s="344"/>
      <c r="I108" s="344"/>
      <c r="J108" s="344"/>
      <c r="K108" s="344"/>
      <c r="L108" s="360"/>
      <c r="M108" s="360"/>
      <c r="T108" s="132"/>
    </row>
    <row r="109" spans="1:20" s="347" customFormat="1">
      <c r="A109" s="344"/>
      <c r="B109" s="344"/>
      <c r="C109" s="344"/>
      <c r="D109" s="344"/>
      <c r="E109" s="344"/>
      <c r="F109" s="344"/>
      <c r="G109" s="344"/>
      <c r="H109" s="344"/>
      <c r="I109" s="344"/>
      <c r="J109" s="344"/>
      <c r="K109" s="344"/>
      <c r="L109" s="360"/>
      <c r="M109" s="360"/>
      <c r="T109" s="132"/>
    </row>
    <row r="110" spans="1:20" s="347" customFormat="1">
      <c r="A110" s="344"/>
      <c r="B110" s="344"/>
      <c r="C110" s="344"/>
      <c r="D110" s="344"/>
      <c r="E110" s="344"/>
      <c r="F110" s="344"/>
      <c r="G110" s="344"/>
      <c r="H110" s="344"/>
      <c r="I110" s="344"/>
      <c r="J110" s="344"/>
      <c r="K110" s="344"/>
      <c r="L110" s="360"/>
      <c r="M110" s="360"/>
      <c r="T110" s="132"/>
    </row>
    <row r="111" spans="1:20" s="347" customFormat="1">
      <c r="A111" s="344"/>
      <c r="B111" s="344"/>
      <c r="C111" s="344"/>
      <c r="D111" s="344"/>
      <c r="E111" s="344"/>
      <c r="F111" s="344"/>
      <c r="G111" s="344"/>
      <c r="H111" s="344"/>
      <c r="I111" s="344"/>
      <c r="J111" s="344"/>
      <c r="K111" s="344"/>
      <c r="L111" s="360"/>
      <c r="M111" s="360"/>
      <c r="T111" s="132"/>
    </row>
    <row r="112" spans="1:20" s="347" customFormat="1">
      <c r="A112" s="344"/>
      <c r="B112" s="344"/>
      <c r="C112" s="344"/>
      <c r="D112" s="344"/>
      <c r="E112" s="344"/>
      <c r="F112" s="344"/>
      <c r="G112" s="344"/>
      <c r="H112" s="344"/>
      <c r="I112" s="344"/>
      <c r="J112" s="344"/>
      <c r="K112" s="344"/>
      <c r="L112" s="360"/>
      <c r="M112" s="360"/>
      <c r="T112" s="132"/>
    </row>
    <row r="113" spans="1:20" s="347" customFormat="1">
      <c r="A113" s="344"/>
      <c r="B113" s="344"/>
      <c r="C113" s="344"/>
      <c r="D113" s="344"/>
      <c r="E113" s="344"/>
      <c r="F113" s="344"/>
      <c r="G113" s="344"/>
      <c r="H113" s="344"/>
      <c r="I113" s="344"/>
      <c r="J113" s="344"/>
      <c r="K113" s="344"/>
      <c r="L113" s="360"/>
      <c r="M113" s="360"/>
      <c r="T113" s="132"/>
    </row>
    <row r="114" spans="1:20" s="347" customFormat="1">
      <c r="A114" s="344"/>
      <c r="B114" s="344"/>
      <c r="C114" s="344"/>
      <c r="D114" s="344"/>
      <c r="E114" s="344"/>
      <c r="F114" s="344"/>
      <c r="G114" s="344"/>
      <c r="H114" s="344"/>
      <c r="I114" s="344"/>
      <c r="J114" s="344"/>
      <c r="K114" s="344"/>
      <c r="L114" s="360"/>
      <c r="M114" s="360"/>
      <c r="T114" s="132"/>
    </row>
    <row r="115" spans="1:20" s="347" customFormat="1">
      <c r="A115" s="344"/>
      <c r="B115" s="344"/>
      <c r="C115" s="344"/>
      <c r="D115" s="344"/>
      <c r="E115" s="344"/>
      <c r="F115" s="344"/>
      <c r="G115" s="344"/>
      <c r="H115" s="344"/>
      <c r="I115" s="344"/>
      <c r="J115" s="344"/>
      <c r="K115" s="344"/>
      <c r="L115" s="360"/>
      <c r="M115" s="360"/>
      <c r="T115" s="132"/>
    </row>
    <row r="116" spans="1:20" s="347" customFormat="1">
      <c r="A116" s="344"/>
      <c r="B116" s="344"/>
      <c r="C116" s="344"/>
      <c r="D116" s="344"/>
      <c r="E116" s="344"/>
      <c r="F116" s="344"/>
      <c r="G116" s="344"/>
      <c r="H116" s="344"/>
      <c r="I116" s="344"/>
      <c r="J116" s="344"/>
      <c r="K116" s="344"/>
      <c r="L116" s="360"/>
      <c r="M116" s="360"/>
      <c r="T116" s="132"/>
    </row>
    <row r="117" spans="1:20" s="347" customFormat="1">
      <c r="A117" s="344"/>
      <c r="B117" s="344"/>
      <c r="C117" s="344"/>
      <c r="D117" s="344"/>
      <c r="E117" s="344"/>
      <c r="F117" s="344"/>
      <c r="G117" s="344"/>
      <c r="H117" s="344"/>
      <c r="I117" s="344"/>
      <c r="J117" s="344"/>
      <c r="K117" s="344"/>
      <c r="L117" s="360"/>
      <c r="M117" s="360"/>
      <c r="T117" s="132"/>
    </row>
    <row r="118" spans="1:20" s="347" customFormat="1">
      <c r="A118" s="344"/>
      <c r="B118" s="344"/>
      <c r="C118" s="344"/>
      <c r="D118" s="344"/>
      <c r="E118" s="344"/>
      <c r="F118" s="344"/>
      <c r="G118" s="344"/>
      <c r="H118" s="344"/>
      <c r="I118" s="344"/>
      <c r="J118" s="344"/>
      <c r="K118" s="344"/>
      <c r="L118" s="360"/>
      <c r="M118" s="360"/>
      <c r="T118" s="132"/>
    </row>
    <row r="119" spans="1:20" s="347" customFormat="1">
      <c r="A119" s="344"/>
      <c r="B119" s="344"/>
      <c r="C119" s="344"/>
      <c r="D119" s="344"/>
      <c r="E119" s="344"/>
      <c r="F119" s="344"/>
      <c r="G119" s="344"/>
      <c r="H119" s="344"/>
      <c r="I119" s="344"/>
      <c r="J119" s="344"/>
      <c r="K119" s="344"/>
      <c r="L119" s="360"/>
      <c r="M119" s="360"/>
      <c r="T119" s="132"/>
    </row>
    <row r="120" spans="1:20" s="347" customFormat="1">
      <c r="A120" s="344"/>
      <c r="B120" s="344"/>
      <c r="C120" s="344"/>
      <c r="D120" s="344"/>
      <c r="E120" s="344"/>
      <c r="F120" s="344"/>
      <c r="G120" s="344"/>
      <c r="H120" s="344"/>
      <c r="I120" s="344"/>
      <c r="J120" s="344"/>
      <c r="K120" s="344"/>
      <c r="L120" s="360"/>
      <c r="M120" s="360"/>
      <c r="T120" s="132"/>
    </row>
    <row r="121" spans="1:20" s="347" customFormat="1">
      <c r="A121" s="344"/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60"/>
      <c r="M121" s="360"/>
      <c r="T121" s="132"/>
    </row>
    <row r="122" spans="1:20" s="347" customFormat="1">
      <c r="A122" s="344"/>
      <c r="B122" s="344"/>
      <c r="C122" s="344"/>
      <c r="D122" s="344"/>
      <c r="E122" s="344"/>
      <c r="F122" s="344"/>
      <c r="G122" s="344"/>
      <c r="H122" s="344"/>
      <c r="I122" s="344"/>
      <c r="J122" s="344"/>
      <c r="K122" s="344"/>
      <c r="L122" s="360"/>
      <c r="M122" s="360"/>
      <c r="T122" s="132"/>
    </row>
    <row r="123" spans="1:20" s="347" customFormat="1">
      <c r="A123" s="344"/>
      <c r="B123" s="344"/>
      <c r="C123" s="344"/>
      <c r="D123" s="344"/>
      <c r="E123" s="344"/>
      <c r="F123" s="344"/>
      <c r="G123" s="344"/>
      <c r="H123" s="344"/>
      <c r="I123" s="344"/>
      <c r="J123" s="344"/>
      <c r="K123" s="344"/>
      <c r="L123" s="360"/>
      <c r="M123" s="360"/>
      <c r="T123" s="132"/>
    </row>
    <row r="124" spans="1:20" s="347" customFormat="1">
      <c r="A124" s="344"/>
      <c r="B124" s="344"/>
      <c r="C124" s="344"/>
      <c r="D124" s="344"/>
      <c r="E124" s="344"/>
      <c r="F124" s="344"/>
      <c r="G124" s="344"/>
      <c r="H124" s="344"/>
      <c r="I124" s="344"/>
      <c r="J124" s="344"/>
      <c r="K124" s="344"/>
      <c r="L124" s="360"/>
      <c r="M124" s="360"/>
      <c r="T124" s="132"/>
    </row>
    <row r="125" spans="1:20" s="347" customFormat="1">
      <c r="A125" s="344"/>
      <c r="B125" s="344"/>
      <c r="C125" s="344"/>
      <c r="D125" s="344"/>
      <c r="E125" s="344"/>
      <c r="F125" s="344"/>
      <c r="G125" s="344"/>
      <c r="H125" s="344"/>
      <c r="I125" s="344"/>
      <c r="J125" s="344"/>
      <c r="K125" s="344"/>
      <c r="L125" s="360"/>
      <c r="M125" s="360"/>
      <c r="T125" s="132"/>
    </row>
    <row r="126" spans="1:20" s="347" customFormat="1">
      <c r="A126" s="344"/>
      <c r="B126" s="344"/>
      <c r="C126" s="344"/>
      <c r="D126" s="344"/>
      <c r="E126" s="344"/>
      <c r="F126" s="344"/>
      <c r="G126" s="344"/>
      <c r="H126" s="344"/>
      <c r="I126" s="344"/>
      <c r="J126" s="344"/>
      <c r="K126" s="344"/>
      <c r="L126" s="360"/>
      <c r="M126" s="360"/>
      <c r="T126" s="132"/>
    </row>
    <row r="127" spans="1:20" s="347" customFormat="1">
      <c r="A127" s="344"/>
      <c r="B127" s="344"/>
      <c r="C127" s="344"/>
      <c r="D127" s="344"/>
      <c r="E127" s="344"/>
      <c r="F127" s="344"/>
      <c r="G127" s="344"/>
      <c r="H127" s="344"/>
      <c r="I127" s="344"/>
      <c r="J127" s="344"/>
      <c r="K127" s="344"/>
      <c r="L127" s="360"/>
      <c r="M127" s="360"/>
      <c r="T127" s="132"/>
    </row>
    <row r="128" spans="1:20" s="347" customFormat="1">
      <c r="A128" s="344"/>
      <c r="B128" s="344"/>
      <c r="C128" s="344"/>
      <c r="D128" s="344"/>
      <c r="E128" s="344"/>
      <c r="F128" s="344"/>
      <c r="G128" s="344"/>
      <c r="H128" s="344"/>
      <c r="I128" s="344"/>
      <c r="J128" s="344"/>
      <c r="K128" s="344"/>
      <c r="L128" s="360"/>
      <c r="M128" s="360"/>
      <c r="T128" s="132"/>
    </row>
    <row r="129" spans="1:20" s="347" customFormat="1">
      <c r="A129" s="344"/>
      <c r="B129" s="344"/>
      <c r="C129" s="344"/>
      <c r="D129" s="344"/>
      <c r="E129" s="344"/>
      <c r="F129" s="344"/>
      <c r="G129" s="344"/>
      <c r="H129" s="344"/>
      <c r="I129" s="344"/>
      <c r="J129" s="344"/>
      <c r="K129" s="344"/>
      <c r="L129" s="360"/>
      <c r="M129" s="360"/>
      <c r="T129" s="132"/>
    </row>
    <row r="130" spans="1:20" s="347" customFormat="1">
      <c r="A130" s="344"/>
      <c r="B130" s="344"/>
      <c r="C130" s="344"/>
      <c r="D130" s="344"/>
      <c r="E130" s="344"/>
      <c r="F130" s="344"/>
      <c r="G130" s="344"/>
      <c r="H130" s="344"/>
      <c r="I130" s="344"/>
      <c r="J130" s="344"/>
      <c r="K130" s="344"/>
      <c r="L130" s="360"/>
      <c r="M130" s="360"/>
      <c r="T130" s="132"/>
    </row>
    <row r="131" spans="1:20" s="347" customFormat="1">
      <c r="A131" s="344"/>
      <c r="B131" s="344"/>
      <c r="C131" s="344"/>
      <c r="D131" s="344"/>
      <c r="E131" s="344"/>
      <c r="F131" s="344"/>
      <c r="G131" s="344"/>
      <c r="H131" s="344"/>
      <c r="I131" s="344"/>
      <c r="J131" s="344"/>
      <c r="K131" s="344"/>
      <c r="L131" s="360"/>
      <c r="M131" s="360"/>
      <c r="T131" s="132"/>
    </row>
    <row r="132" spans="1:20" s="347" customFormat="1">
      <c r="A132" s="344"/>
      <c r="B132" s="344"/>
      <c r="C132" s="344"/>
      <c r="D132" s="344"/>
      <c r="E132" s="344"/>
      <c r="F132" s="344"/>
      <c r="G132" s="344"/>
      <c r="H132" s="344"/>
      <c r="I132" s="344"/>
      <c r="J132" s="344"/>
      <c r="K132" s="344"/>
      <c r="L132" s="360"/>
      <c r="M132" s="360"/>
      <c r="T132" s="132"/>
    </row>
    <row r="133" spans="1:20" s="347" customFormat="1">
      <c r="A133" s="344"/>
      <c r="B133" s="344"/>
      <c r="C133" s="344"/>
      <c r="D133" s="344"/>
      <c r="E133" s="344"/>
      <c r="F133" s="344"/>
      <c r="G133" s="344"/>
      <c r="H133" s="344"/>
      <c r="I133" s="344"/>
      <c r="J133" s="344"/>
      <c r="K133" s="344"/>
      <c r="L133" s="360"/>
      <c r="M133" s="360"/>
      <c r="T133" s="132"/>
    </row>
    <row r="134" spans="1:20" s="347" customFormat="1">
      <c r="A134" s="344"/>
      <c r="B134" s="344"/>
      <c r="C134" s="344"/>
      <c r="D134" s="344"/>
      <c r="E134" s="344"/>
      <c r="F134" s="344"/>
      <c r="G134" s="344"/>
      <c r="H134" s="344"/>
      <c r="I134" s="344"/>
      <c r="J134" s="344"/>
      <c r="K134" s="344"/>
      <c r="L134" s="360"/>
      <c r="M134" s="360"/>
      <c r="T134" s="132"/>
    </row>
    <row r="135" spans="1:20" s="347" customFormat="1">
      <c r="A135" s="344"/>
      <c r="B135" s="344"/>
      <c r="C135" s="344"/>
      <c r="D135" s="344"/>
      <c r="E135" s="344"/>
      <c r="F135" s="344"/>
      <c r="G135" s="344"/>
      <c r="H135" s="344"/>
      <c r="I135" s="344"/>
      <c r="J135" s="344"/>
      <c r="K135" s="344"/>
      <c r="L135" s="360"/>
      <c r="M135" s="360"/>
      <c r="T135" s="132"/>
    </row>
    <row r="136" spans="1:20" s="347" customFormat="1">
      <c r="A136" s="344"/>
      <c r="B136" s="344"/>
      <c r="C136" s="344"/>
      <c r="D136" s="344"/>
      <c r="E136" s="344"/>
      <c r="F136" s="344"/>
      <c r="G136" s="344"/>
      <c r="H136" s="344"/>
      <c r="I136" s="344"/>
      <c r="J136" s="344"/>
      <c r="K136" s="344"/>
      <c r="L136" s="360"/>
      <c r="M136" s="360"/>
      <c r="T136" s="132"/>
    </row>
    <row r="137" spans="1:20" s="347" customFormat="1">
      <c r="A137" s="344"/>
      <c r="B137" s="344"/>
      <c r="C137" s="344"/>
      <c r="D137" s="344"/>
      <c r="E137" s="344"/>
      <c r="F137" s="344"/>
      <c r="G137" s="344"/>
      <c r="H137" s="344"/>
      <c r="I137" s="344"/>
      <c r="J137" s="344"/>
      <c r="K137" s="344"/>
      <c r="L137" s="360"/>
      <c r="M137" s="360"/>
      <c r="T137" s="132"/>
    </row>
    <row r="138" spans="1:20" s="347" customFormat="1">
      <c r="A138" s="344"/>
      <c r="B138" s="344"/>
      <c r="C138" s="344"/>
      <c r="D138" s="344"/>
      <c r="E138" s="344"/>
      <c r="F138" s="344"/>
      <c r="G138" s="344"/>
      <c r="H138" s="344"/>
      <c r="I138" s="344"/>
      <c r="J138" s="344"/>
      <c r="K138" s="344"/>
      <c r="L138" s="360"/>
      <c r="M138" s="360"/>
      <c r="T138" s="132"/>
    </row>
    <row r="139" spans="1:20" s="347" customFormat="1">
      <c r="A139" s="344"/>
      <c r="B139" s="344"/>
      <c r="C139" s="344"/>
      <c r="D139" s="344"/>
      <c r="E139" s="344"/>
      <c r="F139" s="344"/>
      <c r="G139" s="344"/>
      <c r="H139" s="344"/>
      <c r="I139" s="344"/>
      <c r="J139" s="344"/>
      <c r="K139" s="344"/>
      <c r="L139" s="360"/>
      <c r="M139" s="360"/>
      <c r="T139" s="132"/>
    </row>
    <row r="140" spans="1:20" s="347" customFormat="1">
      <c r="A140" s="344"/>
      <c r="B140" s="344"/>
      <c r="C140" s="344"/>
      <c r="D140" s="344"/>
      <c r="E140" s="344"/>
      <c r="F140" s="344"/>
      <c r="G140" s="344"/>
      <c r="H140" s="344"/>
      <c r="I140" s="344"/>
      <c r="J140" s="344"/>
      <c r="K140" s="344"/>
      <c r="L140" s="360"/>
      <c r="M140" s="360"/>
      <c r="T140" s="132"/>
    </row>
    <row r="141" spans="1:20" s="347" customFormat="1">
      <c r="A141" s="344"/>
      <c r="B141" s="344"/>
      <c r="C141" s="344"/>
      <c r="D141" s="344"/>
      <c r="E141" s="344"/>
      <c r="F141" s="344"/>
      <c r="G141" s="344"/>
      <c r="H141" s="344"/>
      <c r="I141" s="344"/>
      <c r="J141" s="344"/>
      <c r="K141" s="344"/>
      <c r="L141" s="360"/>
      <c r="M141" s="360"/>
      <c r="T141" s="132"/>
    </row>
    <row r="142" spans="1:20" s="347" customFormat="1">
      <c r="A142" s="344"/>
      <c r="B142" s="344"/>
      <c r="C142" s="344"/>
      <c r="D142" s="344"/>
      <c r="E142" s="344"/>
      <c r="F142" s="344"/>
      <c r="G142" s="344"/>
      <c r="H142" s="344"/>
      <c r="I142" s="344"/>
      <c r="J142" s="344"/>
      <c r="K142" s="344"/>
      <c r="L142" s="360"/>
      <c r="M142" s="360"/>
      <c r="T142" s="132"/>
    </row>
    <row r="143" spans="1:20" s="347" customFormat="1">
      <c r="A143" s="344"/>
      <c r="B143" s="344"/>
      <c r="C143" s="344"/>
      <c r="D143" s="344"/>
      <c r="E143" s="344"/>
      <c r="F143" s="344"/>
      <c r="G143" s="344"/>
      <c r="H143" s="344"/>
      <c r="I143" s="344"/>
      <c r="J143" s="344"/>
      <c r="K143" s="344"/>
      <c r="L143" s="360"/>
      <c r="M143" s="360"/>
      <c r="T143" s="132"/>
    </row>
    <row r="144" spans="1:20" s="347" customFormat="1">
      <c r="A144" s="344"/>
      <c r="B144" s="344"/>
      <c r="C144" s="344"/>
      <c r="D144" s="344"/>
      <c r="E144" s="344"/>
      <c r="F144" s="344"/>
      <c r="G144" s="344"/>
      <c r="H144" s="344"/>
      <c r="I144" s="344"/>
      <c r="J144" s="344"/>
      <c r="K144" s="344"/>
      <c r="L144" s="360"/>
      <c r="M144" s="360"/>
      <c r="T144" s="132"/>
    </row>
    <row r="145" spans="1:20" s="347" customFormat="1">
      <c r="A145" s="344"/>
      <c r="B145" s="344"/>
      <c r="C145" s="344"/>
      <c r="D145" s="344"/>
      <c r="E145" s="344"/>
      <c r="F145" s="344"/>
      <c r="G145" s="344"/>
      <c r="H145" s="344"/>
      <c r="I145" s="344"/>
      <c r="J145" s="344"/>
      <c r="K145" s="344"/>
      <c r="L145" s="360"/>
      <c r="M145" s="360"/>
      <c r="T145" s="132"/>
    </row>
    <row r="146" spans="1:20" s="347" customFormat="1">
      <c r="A146" s="344"/>
      <c r="B146" s="344"/>
      <c r="C146" s="344"/>
      <c r="D146" s="344"/>
      <c r="E146" s="344"/>
      <c r="F146" s="344"/>
      <c r="G146" s="344"/>
      <c r="H146" s="344"/>
      <c r="I146" s="344"/>
      <c r="J146" s="344"/>
      <c r="K146" s="344"/>
      <c r="L146" s="360"/>
      <c r="M146" s="360"/>
      <c r="T146" s="132"/>
    </row>
    <row r="147" spans="1:20" s="347" customFormat="1">
      <c r="A147" s="344"/>
      <c r="B147" s="344"/>
      <c r="C147" s="344"/>
      <c r="D147" s="344"/>
      <c r="E147" s="344"/>
      <c r="F147" s="344"/>
      <c r="G147" s="344"/>
      <c r="H147" s="344"/>
      <c r="I147" s="344"/>
      <c r="J147" s="344"/>
      <c r="K147" s="344"/>
      <c r="L147" s="360"/>
      <c r="M147" s="360"/>
      <c r="T147" s="132"/>
    </row>
    <row r="148" spans="1:20" s="347" customFormat="1">
      <c r="A148" s="344"/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60"/>
      <c r="M148" s="360"/>
      <c r="T148" s="132"/>
    </row>
    <row r="149" spans="1:20" s="347" customFormat="1">
      <c r="A149" s="344"/>
      <c r="B149" s="344"/>
      <c r="C149" s="344"/>
      <c r="D149" s="344"/>
      <c r="E149" s="344"/>
      <c r="F149" s="344"/>
      <c r="G149" s="344"/>
      <c r="H149" s="344"/>
      <c r="I149" s="344"/>
      <c r="J149" s="344"/>
      <c r="K149" s="344"/>
      <c r="L149" s="360"/>
      <c r="M149" s="360"/>
      <c r="T149" s="132"/>
    </row>
    <row r="150" spans="1:20" s="347" customFormat="1">
      <c r="A150" s="344"/>
      <c r="B150" s="344"/>
      <c r="C150" s="344"/>
      <c r="D150" s="344"/>
      <c r="E150" s="344"/>
      <c r="F150" s="344"/>
      <c r="G150" s="344"/>
      <c r="H150" s="344"/>
      <c r="I150" s="344"/>
      <c r="J150" s="344"/>
      <c r="K150" s="344"/>
      <c r="L150" s="360"/>
      <c r="M150" s="360"/>
      <c r="T150" s="132"/>
    </row>
    <row r="151" spans="1:20" s="347" customFormat="1">
      <c r="A151" s="344"/>
      <c r="B151" s="344"/>
      <c r="C151" s="344"/>
      <c r="D151" s="344"/>
      <c r="E151" s="344"/>
      <c r="F151" s="344"/>
      <c r="G151" s="344"/>
      <c r="H151" s="344"/>
      <c r="I151" s="344"/>
      <c r="J151" s="344"/>
      <c r="K151" s="344"/>
      <c r="L151" s="360"/>
      <c r="M151" s="360"/>
      <c r="T151" s="132"/>
    </row>
    <row r="152" spans="1:20" s="347" customFormat="1">
      <c r="A152" s="344"/>
      <c r="B152" s="344"/>
      <c r="C152" s="344"/>
      <c r="D152" s="344"/>
      <c r="E152" s="344"/>
      <c r="F152" s="344"/>
      <c r="G152" s="344"/>
      <c r="H152" s="344"/>
      <c r="I152" s="344"/>
      <c r="J152" s="344"/>
      <c r="K152" s="344"/>
      <c r="L152" s="360"/>
      <c r="M152" s="360"/>
      <c r="T152" s="132"/>
    </row>
    <row r="153" spans="1:20" s="347" customFormat="1">
      <c r="A153" s="344"/>
      <c r="B153" s="344"/>
      <c r="C153" s="344"/>
      <c r="D153" s="344"/>
      <c r="E153" s="344"/>
      <c r="F153" s="344"/>
      <c r="G153" s="344"/>
      <c r="H153" s="344"/>
      <c r="I153" s="344"/>
      <c r="J153" s="344"/>
      <c r="K153" s="344"/>
      <c r="L153" s="360"/>
      <c r="M153" s="360"/>
      <c r="T153" s="132"/>
    </row>
    <row r="154" spans="1:20" s="347" customFormat="1">
      <c r="A154" s="344"/>
      <c r="B154" s="344"/>
      <c r="C154" s="344"/>
      <c r="D154" s="344"/>
      <c r="E154" s="344"/>
      <c r="F154" s="344"/>
      <c r="G154" s="344"/>
      <c r="H154" s="344"/>
      <c r="I154" s="344"/>
      <c r="J154" s="344"/>
      <c r="K154" s="344"/>
      <c r="L154" s="360"/>
      <c r="M154" s="360"/>
      <c r="T154" s="132"/>
    </row>
    <row r="155" spans="1:20" s="347" customFormat="1">
      <c r="A155" s="344"/>
      <c r="B155" s="344"/>
      <c r="C155" s="344"/>
      <c r="D155" s="344"/>
      <c r="E155" s="344"/>
      <c r="F155" s="344"/>
      <c r="G155" s="344"/>
      <c r="H155" s="344"/>
      <c r="I155" s="344"/>
      <c r="J155" s="344"/>
      <c r="K155" s="344"/>
      <c r="L155" s="360"/>
      <c r="M155" s="360"/>
      <c r="T155" s="132"/>
    </row>
    <row r="156" spans="1:20" s="347" customFormat="1">
      <c r="A156" s="344"/>
      <c r="B156" s="344"/>
      <c r="C156" s="344"/>
      <c r="D156" s="344"/>
      <c r="E156" s="344"/>
      <c r="F156" s="344"/>
      <c r="G156" s="344"/>
      <c r="H156" s="344"/>
      <c r="I156" s="344"/>
      <c r="J156" s="344"/>
      <c r="K156" s="344"/>
      <c r="L156" s="360"/>
      <c r="M156" s="360"/>
      <c r="T156" s="132"/>
    </row>
    <row r="157" spans="1:20" s="347" customFormat="1">
      <c r="A157" s="344"/>
      <c r="B157" s="344"/>
      <c r="C157" s="344"/>
      <c r="D157" s="344"/>
      <c r="E157" s="344"/>
      <c r="F157" s="344"/>
      <c r="G157" s="344"/>
      <c r="H157" s="344"/>
      <c r="I157" s="344"/>
      <c r="J157" s="344"/>
      <c r="K157" s="344"/>
      <c r="L157" s="360"/>
      <c r="M157" s="360"/>
      <c r="T157" s="132"/>
    </row>
    <row r="158" spans="1:20" s="347" customFormat="1">
      <c r="A158" s="344"/>
      <c r="B158" s="344"/>
      <c r="C158" s="344"/>
      <c r="D158" s="344"/>
      <c r="E158" s="344"/>
      <c r="F158" s="344"/>
      <c r="G158" s="344"/>
      <c r="H158" s="344"/>
      <c r="I158" s="344"/>
      <c r="J158" s="344"/>
      <c r="K158" s="344"/>
      <c r="L158" s="360"/>
      <c r="M158" s="360"/>
      <c r="T158" s="132"/>
    </row>
    <row r="159" spans="1:20" s="347" customFormat="1">
      <c r="A159" s="344"/>
      <c r="B159" s="344"/>
      <c r="C159" s="344"/>
      <c r="D159" s="344"/>
      <c r="E159" s="344"/>
      <c r="F159" s="344"/>
      <c r="G159" s="344"/>
      <c r="H159" s="344"/>
      <c r="I159" s="344"/>
      <c r="J159" s="344"/>
      <c r="K159" s="344"/>
      <c r="L159" s="360"/>
      <c r="M159" s="360"/>
      <c r="T159" s="132"/>
    </row>
    <row r="160" spans="1:20" s="347" customFormat="1">
      <c r="A160" s="344"/>
      <c r="B160" s="344"/>
      <c r="C160" s="344"/>
      <c r="D160" s="344"/>
      <c r="E160" s="344"/>
      <c r="F160" s="344"/>
      <c r="G160" s="344"/>
      <c r="H160" s="344"/>
      <c r="I160" s="344"/>
      <c r="J160" s="344"/>
      <c r="K160" s="344"/>
      <c r="L160" s="360"/>
      <c r="M160" s="360"/>
      <c r="T160" s="132"/>
    </row>
    <row r="161" spans="1:20" s="347" customFormat="1">
      <c r="A161" s="344"/>
      <c r="B161" s="344"/>
      <c r="C161" s="344"/>
      <c r="D161" s="344"/>
      <c r="E161" s="344"/>
      <c r="F161" s="344"/>
      <c r="G161" s="344"/>
      <c r="H161" s="344"/>
      <c r="I161" s="344"/>
      <c r="J161" s="344"/>
      <c r="K161" s="344"/>
      <c r="L161" s="360"/>
      <c r="M161" s="360"/>
      <c r="T161" s="132"/>
    </row>
    <row r="162" spans="1:20" s="347" customFormat="1">
      <c r="A162" s="344"/>
      <c r="B162" s="344"/>
      <c r="C162" s="344"/>
      <c r="D162" s="344"/>
      <c r="E162" s="344"/>
      <c r="F162" s="344"/>
      <c r="G162" s="344"/>
      <c r="H162" s="344"/>
      <c r="I162" s="344"/>
      <c r="J162" s="344"/>
      <c r="K162" s="344"/>
      <c r="L162" s="360"/>
      <c r="M162" s="360"/>
      <c r="T162" s="132"/>
    </row>
    <row r="163" spans="1:20" s="347" customFormat="1">
      <c r="A163" s="344"/>
      <c r="B163" s="344"/>
      <c r="C163" s="344"/>
      <c r="D163" s="344"/>
      <c r="E163" s="344"/>
      <c r="F163" s="344"/>
      <c r="G163" s="344"/>
      <c r="H163" s="344"/>
      <c r="I163" s="344"/>
      <c r="J163" s="344"/>
      <c r="K163" s="344"/>
      <c r="L163" s="360"/>
      <c r="M163" s="360"/>
      <c r="T163" s="132"/>
    </row>
    <row r="164" spans="1:20" s="347" customFormat="1">
      <c r="A164" s="344"/>
      <c r="B164" s="344"/>
      <c r="C164" s="344"/>
      <c r="D164" s="344"/>
      <c r="E164" s="344"/>
      <c r="F164" s="344"/>
      <c r="G164" s="344"/>
      <c r="H164" s="344"/>
      <c r="I164" s="344"/>
      <c r="J164" s="344"/>
      <c r="K164" s="344"/>
      <c r="L164" s="360"/>
      <c r="M164" s="360"/>
      <c r="T164" s="132"/>
    </row>
    <row r="165" spans="1:20" s="347" customFormat="1">
      <c r="A165" s="344"/>
      <c r="B165" s="344"/>
      <c r="C165" s="344"/>
      <c r="D165" s="344"/>
      <c r="E165" s="344"/>
      <c r="F165" s="344"/>
      <c r="G165" s="344"/>
      <c r="H165" s="344"/>
      <c r="I165" s="344"/>
      <c r="J165" s="344"/>
      <c r="K165" s="344"/>
      <c r="L165" s="360"/>
      <c r="M165" s="360"/>
      <c r="T165" s="132"/>
    </row>
    <row r="166" spans="1:20" s="347" customFormat="1">
      <c r="A166" s="344"/>
      <c r="B166" s="344"/>
      <c r="C166" s="344"/>
      <c r="D166" s="344"/>
      <c r="E166" s="344"/>
      <c r="F166" s="344"/>
      <c r="G166" s="344"/>
      <c r="H166" s="344"/>
      <c r="I166" s="344"/>
      <c r="J166" s="344"/>
      <c r="K166" s="344"/>
      <c r="L166" s="360"/>
      <c r="M166" s="360"/>
      <c r="T166" s="132"/>
    </row>
    <row r="167" spans="1:20" s="347" customFormat="1">
      <c r="A167" s="344"/>
      <c r="B167" s="344"/>
      <c r="C167" s="344"/>
      <c r="D167" s="344"/>
      <c r="E167" s="344"/>
      <c r="F167" s="344"/>
      <c r="G167" s="344"/>
      <c r="H167" s="344"/>
      <c r="I167" s="344"/>
      <c r="J167" s="344"/>
      <c r="K167" s="344"/>
      <c r="L167" s="360"/>
      <c r="M167" s="360"/>
      <c r="T167" s="132"/>
    </row>
    <row r="168" spans="1:20" s="347" customFormat="1">
      <c r="A168" s="344"/>
      <c r="B168" s="344"/>
      <c r="C168" s="344"/>
      <c r="D168" s="344"/>
      <c r="E168" s="344"/>
      <c r="F168" s="344"/>
      <c r="G168" s="344"/>
      <c r="H168" s="344"/>
      <c r="I168" s="344"/>
      <c r="J168" s="344"/>
      <c r="K168" s="344"/>
      <c r="L168" s="360"/>
      <c r="M168" s="360"/>
      <c r="T168" s="132"/>
    </row>
    <row r="169" spans="1:20" s="347" customFormat="1">
      <c r="A169" s="344"/>
      <c r="B169" s="344"/>
      <c r="C169" s="344"/>
      <c r="D169" s="344"/>
      <c r="E169" s="344"/>
      <c r="F169" s="344"/>
      <c r="G169" s="344"/>
      <c r="H169" s="344"/>
      <c r="I169" s="344"/>
      <c r="J169" s="344"/>
      <c r="K169" s="344"/>
      <c r="L169" s="360"/>
      <c r="M169" s="360"/>
      <c r="T169" s="132"/>
    </row>
    <row r="170" spans="1:20" s="347" customFormat="1">
      <c r="A170" s="344"/>
      <c r="B170" s="344"/>
      <c r="C170" s="344"/>
      <c r="D170" s="344"/>
      <c r="E170" s="344"/>
      <c r="F170" s="344"/>
      <c r="G170" s="344"/>
      <c r="H170" s="344"/>
      <c r="I170" s="344"/>
      <c r="J170" s="344"/>
      <c r="K170" s="344"/>
      <c r="L170" s="360"/>
      <c r="M170" s="360"/>
      <c r="T170" s="132"/>
    </row>
    <row r="171" spans="1:20" s="347" customFormat="1">
      <c r="A171" s="344"/>
      <c r="B171" s="344"/>
      <c r="C171" s="344"/>
      <c r="D171" s="344"/>
      <c r="E171" s="344"/>
      <c r="F171" s="344"/>
      <c r="G171" s="344"/>
      <c r="H171" s="344"/>
      <c r="I171" s="344"/>
      <c r="J171" s="344"/>
      <c r="K171" s="344"/>
      <c r="L171" s="360"/>
      <c r="M171" s="360"/>
      <c r="T171" s="132"/>
    </row>
    <row r="172" spans="1:20" s="347" customFormat="1">
      <c r="A172" s="344"/>
      <c r="B172" s="344"/>
      <c r="C172" s="344"/>
      <c r="D172" s="344"/>
      <c r="E172" s="344"/>
      <c r="F172" s="344"/>
      <c r="G172" s="344"/>
      <c r="H172" s="344"/>
      <c r="I172" s="344"/>
      <c r="J172" s="344"/>
      <c r="K172" s="344"/>
      <c r="L172" s="360"/>
      <c r="M172" s="360"/>
      <c r="T172" s="132"/>
    </row>
    <row r="173" spans="1:20" s="347" customFormat="1">
      <c r="A173" s="344"/>
      <c r="B173" s="344"/>
      <c r="C173" s="344"/>
      <c r="D173" s="344"/>
      <c r="E173" s="344"/>
      <c r="F173" s="344"/>
      <c r="G173" s="344"/>
      <c r="H173" s="344"/>
      <c r="I173" s="344"/>
      <c r="J173" s="344"/>
      <c r="K173" s="344"/>
      <c r="L173" s="360"/>
      <c r="M173" s="360"/>
      <c r="T173" s="132"/>
    </row>
    <row r="174" spans="1:20" s="347" customFormat="1">
      <c r="A174" s="344"/>
      <c r="B174" s="344"/>
      <c r="C174" s="344"/>
      <c r="D174" s="344"/>
      <c r="E174" s="344"/>
      <c r="F174" s="344"/>
      <c r="G174" s="344"/>
      <c r="H174" s="344"/>
      <c r="I174" s="344"/>
      <c r="J174" s="344"/>
      <c r="K174" s="344"/>
      <c r="L174" s="360"/>
      <c r="M174" s="360"/>
      <c r="T174" s="132"/>
    </row>
    <row r="175" spans="1:20" s="347" customFormat="1">
      <c r="A175" s="344"/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60"/>
      <c r="M175" s="360"/>
      <c r="T175" s="132"/>
    </row>
    <row r="176" spans="1:20" s="347" customFormat="1">
      <c r="A176" s="344"/>
      <c r="B176" s="344"/>
      <c r="C176" s="344"/>
      <c r="D176" s="344"/>
      <c r="E176" s="344"/>
      <c r="F176" s="344"/>
      <c r="G176" s="344"/>
      <c r="H176" s="344"/>
      <c r="I176" s="344"/>
      <c r="J176" s="344"/>
      <c r="K176" s="344"/>
      <c r="L176" s="360"/>
      <c r="M176" s="360"/>
      <c r="T176" s="132"/>
    </row>
    <row r="177" spans="1:20" s="347" customFormat="1">
      <c r="A177" s="344"/>
      <c r="B177" s="344"/>
      <c r="C177" s="344"/>
      <c r="D177" s="344"/>
      <c r="E177" s="344"/>
      <c r="F177" s="344"/>
      <c r="G177" s="344"/>
      <c r="H177" s="344"/>
      <c r="I177" s="344"/>
      <c r="J177" s="344"/>
      <c r="K177" s="344"/>
      <c r="L177" s="360"/>
      <c r="M177" s="360"/>
      <c r="T177" s="132"/>
    </row>
    <row r="178" spans="1:20" s="347" customFormat="1">
      <c r="A178" s="344"/>
      <c r="B178" s="344"/>
      <c r="C178" s="344"/>
      <c r="D178" s="344"/>
      <c r="E178" s="344"/>
      <c r="F178" s="344"/>
      <c r="G178" s="344"/>
      <c r="H178" s="344"/>
      <c r="I178" s="344"/>
      <c r="J178" s="344"/>
      <c r="K178" s="344"/>
      <c r="L178" s="360"/>
      <c r="M178" s="360"/>
      <c r="T178" s="132"/>
    </row>
    <row r="179" spans="1:20" s="347" customFormat="1">
      <c r="A179" s="344"/>
      <c r="B179" s="344"/>
      <c r="C179" s="344"/>
      <c r="D179" s="344"/>
      <c r="E179" s="344"/>
      <c r="F179" s="344"/>
      <c r="G179" s="344"/>
      <c r="H179" s="344"/>
      <c r="I179" s="344"/>
      <c r="J179" s="344"/>
      <c r="K179" s="344"/>
      <c r="L179" s="360"/>
      <c r="M179" s="360"/>
      <c r="T179" s="132"/>
    </row>
    <row r="180" spans="1:20" s="347" customFormat="1">
      <c r="A180" s="344"/>
      <c r="B180" s="344"/>
      <c r="C180" s="344"/>
      <c r="D180" s="344"/>
      <c r="E180" s="344"/>
      <c r="F180" s="344"/>
      <c r="G180" s="344"/>
      <c r="H180" s="344"/>
      <c r="I180" s="344"/>
      <c r="J180" s="344"/>
      <c r="K180" s="344"/>
      <c r="L180" s="360"/>
      <c r="M180" s="360"/>
      <c r="T180" s="132"/>
    </row>
    <row r="181" spans="1:20" s="347" customFormat="1">
      <c r="A181" s="344"/>
      <c r="B181" s="344"/>
      <c r="C181" s="344"/>
      <c r="D181" s="344"/>
      <c r="E181" s="344"/>
      <c r="F181" s="344"/>
      <c r="G181" s="344"/>
      <c r="H181" s="344"/>
      <c r="I181" s="344"/>
      <c r="J181" s="344"/>
      <c r="K181" s="344"/>
      <c r="L181" s="360"/>
      <c r="M181" s="360"/>
      <c r="T181" s="132"/>
    </row>
    <row r="182" spans="1:20" s="347" customFormat="1">
      <c r="A182" s="344"/>
      <c r="B182" s="344"/>
      <c r="C182" s="344"/>
      <c r="D182" s="344"/>
      <c r="E182" s="344"/>
      <c r="F182" s="344"/>
      <c r="G182" s="344"/>
      <c r="H182" s="344"/>
      <c r="I182" s="344"/>
      <c r="J182" s="344"/>
      <c r="K182" s="344"/>
      <c r="L182" s="360"/>
      <c r="M182" s="360"/>
      <c r="T182" s="132"/>
    </row>
    <row r="183" spans="1:20" s="347" customFormat="1">
      <c r="A183" s="344"/>
      <c r="B183" s="344"/>
      <c r="C183" s="344"/>
      <c r="D183" s="344"/>
      <c r="E183" s="344"/>
      <c r="F183" s="344"/>
      <c r="G183" s="344"/>
      <c r="H183" s="344"/>
      <c r="I183" s="344"/>
      <c r="J183" s="344"/>
      <c r="K183" s="344"/>
      <c r="L183" s="360"/>
      <c r="M183" s="360"/>
      <c r="T183" s="132"/>
    </row>
    <row r="184" spans="1:20" s="347" customFormat="1">
      <c r="A184" s="344"/>
      <c r="B184" s="344"/>
      <c r="C184" s="344"/>
      <c r="D184" s="344"/>
      <c r="E184" s="344"/>
      <c r="F184" s="344"/>
      <c r="G184" s="344"/>
      <c r="H184" s="344"/>
      <c r="I184" s="344"/>
      <c r="J184" s="344"/>
      <c r="K184" s="344"/>
      <c r="L184" s="360"/>
      <c r="M184" s="360"/>
      <c r="T184" s="132"/>
    </row>
    <row r="185" spans="1:20" s="347" customFormat="1">
      <c r="A185" s="344"/>
      <c r="B185" s="344"/>
      <c r="C185" s="344"/>
      <c r="D185" s="344"/>
      <c r="E185" s="344"/>
      <c r="F185" s="344"/>
      <c r="G185" s="344"/>
      <c r="H185" s="344"/>
      <c r="I185" s="344"/>
      <c r="J185" s="344"/>
      <c r="K185" s="344"/>
      <c r="L185" s="360"/>
      <c r="M185" s="360"/>
      <c r="T185" s="132"/>
    </row>
    <row r="186" spans="1:20" s="347" customFormat="1">
      <c r="A186" s="344"/>
      <c r="B186" s="344"/>
      <c r="C186" s="344"/>
      <c r="D186" s="344"/>
      <c r="E186" s="344"/>
      <c r="F186" s="344"/>
      <c r="G186" s="344"/>
      <c r="H186" s="344"/>
      <c r="I186" s="344"/>
      <c r="J186" s="344"/>
      <c r="K186" s="344"/>
      <c r="L186" s="360"/>
      <c r="M186" s="360"/>
      <c r="T186" s="132"/>
    </row>
    <row r="187" spans="1:20" s="347" customFormat="1">
      <c r="A187" s="344"/>
      <c r="B187" s="344"/>
      <c r="C187" s="344"/>
      <c r="D187" s="344"/>
      <c r="E187" s="344"/>
      <c r="F187" s="344"/>
      <c r="G187" s="344"/>
      <c r="H187" s="344"/>
      <c r="I187" s="344"/>
      <c r="J187" s="344"/>
      <c r="K187" s="344"/>
      <c r="L187" s="360"/>
      <c r="M187" s="360"/>
      <c r="T187" s="132"/>
    </row>
    <row r="188" spans="1:20" s="347" customFormat="1">
      <c r="A188" s="344"/>
      <c r="B188" s="344"/>
      <c r="C188" s="344"/>
      <c r="D188" s="344"/>
      <c r="E188" s="344"/>
      <c r="F188" s="344"/>
      <c r="G188" s="344"/>
      <c r="H188" s="344"/>
      <c r="I188" s="344"/>
      <c r="J188" s="344"/>
      <c r="K188" s="344"/>
      <c r="L188" s="360"/>
      <c r="M188" s="360"/>
      <c r="T188" s="132"/>
    </row>
    <row r="189" spans="1:20" s="347" customFormat="1">
      <c r="A189" s="344"/>
      <c r="B189" s="344"/>
      <c r="C189" s="344"/>
      <c r="D189" s="344"/>
      <c r="E189" s="344"/>
      <c r="F189" s="344"/>
      <c r="G189" s="344"/>
      <c r="H189" s="344"/>
      <c r="I189" s="344"/>
      <c r="J189" s="344"/>
      <c r="K189" s="344"/>
      <c r="L189" s="360"/>
      <c r="M189" s="360"/>
      <c r="T189" s="132"/>
    </row>
    <row r="190" spans="1:20" s="347" customFormat="1">
      <c r="A190" s="344"/>
      <c r="B190" s="344"/>
      <c r="C190" s="344"/>
      <c r="D190" s="344"/>
      <c r="E190" s="344"/>
      <c r="F190" s="344"/>
      <c r="G190" s="344"/>
      <c r="H190" s="344"/>
      <c r="I190" s="344"/>
      <c r="J190" s="344"/>
      <c r="K190" s="344"/>
      <c r="L190" s="360"/>
      <c r="M190" s="360"/>
      <c r="T190" s="132"/>
    </row>
    <row r="191" spans="1:20" s="347" customFormat="1">
      <c r="A191" s="344"/>
      <c r="B191" s="344"/>
      <c r="C191" s="344"/>
      <c r="D191" s="344"/>
      <c r="E191" s="344"/>
      <c r="F191" s="344"/>
      <c r="G191" s="344"/>
      <c r="H191" s="344"/>
      <c r="I191" s="344"/>
      <c r="J191" s="344"/>
      <c r="K191" s="344"/>
      <c r="L191" s="360"/>
      <c r="M191" s="360"/>
      <c r="T191" s="132"/>
    </row>
    <row r="192" spans="1:20" s="347" customFormat="1">
      <c r="A192" s="344"/>
      <c r="B192" s="344"/>
      <c r="C192" s="344"/>
      <c r="D192" s="344"/>
      <c r="E192" s="344"/>
      <c r="F192" s="344"/>
      <c r="G192" s="344"/>
      <c r="H192" s="344"/>
      <c r="I192" s="344"/>
      <c r="J192" s="344"/>
      <c r="K192" s="344"/>
      <c r="L192" s="360"/>
      <c r="M192" s="360"/>
      <c r="T192" s="132"/>
    </row>
    <row r="193" spans="1:20" s="347" customFormat="1">
      <c r="A193" s="344"/>
      <c r="B193" s="344"/>
      <c r="C193" s="344"/>
      <c r="D193" s="344"/>
      <c r="E193" s="344"/>
      <c r="F193" s="344"/>
      <c r="G193" s="344"/>
      <c r="H193" s="344"/>
      <c r="I193" s="344"/>
      <c r="J193" s="344"/>
      <c r="K193" s="344"/>
      <c r="L193" s="360"/>
      <c r="M193" s="360"/>
      <c r="T193" s="132"/>
    </row>
    <row r="194" spans="1:20" s="347" customFormat="1">
      <c r="A194" s="344"/>
      <c r="B194" s="344"/>
      <c r="C194" s="344"/>
      <c r="D194" s="344"/>
      <c r="E194" s="344"/>
      <c r="F194" s="344"/>
      <c r="G194" s="344"/>
      <c r="H194" s="344"/>
      <c r="I194" s="344"/>
      <c r="J194" s="344"/>
      <c r="K194" s="344"/>
      <c r="L194" s="360"/>
      <c r="M194" s="360"/>
      <c r="T194" s="132"/>
    </row>
    <row r="195" spans="1:20" s="347" customFormat="1">
      <c r="A195" s="344"/>
      <c r="B195" s="344"/>
      <c r="C195" s="344"/>
      <c r="D195" s="344"/>
      <c r="E195" s="344"/>
      <c r="F195" s="344"/>
      <c r="G195" s="344"/>
      <c r="H195" s="344"/>
      <c r="I195" s="344"/>
      <c r="J195" s="344"/>
      <c r="K195" s="344"/>
      <c r="L195" s="360"/>
      <c r="M195" s="360"/>
      <c r="T195" s="132"/>
    </row>
    <row r="196" spans="1:20" s="347" customFormat="1">
      <c r="A196" s="344"/>
      <c r="B196" s="344"/>
      <c r="C196" s="344"/>
      <c r="D196" s="344"/>
      <c r="E196" s="344"/>
      <c r="F196" s="344"/>
      <c r="G196" s="344"/>
      <c r="H196" s="344"/>
      <c r="I196" s="344"/>
      <c r="J196" s="344"/>
      <c r="K196" s="344"/>
      <c r="L196" s="360"/>
      <c r="M196" s="360"/>
      <c r="T196" s="132"/>
    </row>
    <row r="197" spans="1:20" s="347" customFormat="1">
      <c r="A197" s="344"/>
      <c r="B197" s="344"/>
      <c r="C197" s="344"/>
      <c r="D197" s="344"/>
      <c r="E197" s="344"/>
      <c r="F197" s="344"/>
      <c r="G197" s="344"/>
      <c r="H197" s="344"/>
      <c r="I197" s="344"/>
      <c r="J197" s="344"/>
      <c r="K197" s="344"/>
      <c r="L197" s="360"/>
      <c r="M197" s="360"/>
      <c r="T197" s="132"/>
    </row>
    <row r="198" spans="1:20" s="347" customFormat="1">
      <c r="A198" s="344"/>
      <c r="B198" s="344"/>
      <c r="C198" s="344"/>
      <c r="D198" s="344"/>
      <c r="E198" s="344"/>
      <c r="F198" s="344"/>
      <c r="G198" s="344"/>
      <c r="H198" s="344"/>
      <c r="I198" s="344"/>
      <c r="J198" s="344"/>
      <c r="K198" s="344"/>
      <c r="L198" s="360"/>
      <c r="M198" s="360"/>
      <c r="T198" s="132"/>
    </row>
    <row r="199" spans="1:20" s="347" customFormat="1">
      <c r="A199" s="344"/>
      <c r="B199" s="344"/>
      <c r="C199" s="344"/>
      <c r="D199" s="344"/>
      <c r="E199" s="344"/>
      <c r="F199" s="344"/>
      <c r="G199" s="344"/>
      <c r="H199" s="344"/>
      <c r="I199" s="344"/>
      <c r="J199" s="344"/>
      <c r="K199" s="344"/>
      <c r="L199" s="360"/>
      <c r="M199" s="360"/>
      <c r="T199" s="132"/>
    </row>
    <row r="200" spans="1:20" s="347" customFormat="1">
      <c r="A200" s="344"/>
      <c r="B200" s="344"/>
      <c r="C200" s="344"/>
      <c r="D200" s="344"/>
      <c r="E200" s="344"/>
      <c r="F200" s="344"/>
      <c r="G200" s="344"/>
      <c r="H200" s="344"/>
      <c r="I200" s="344"/>
      <c r="J200" s="344"/>
      <c r="K200" s="344"/>
      <c r="L200" s="360"/>
      <c r="M200" s="360"/>
      <c r="T200" s="132"/>
    </row>
    <row r="201" spans="1:20" s="347" customFormat="1">
      <c r="A201" s="344"/>
      <c r="B201" s="344"/>
      <c r="C201" s="344"/>
      <c r="D201" s="344"/>
      <c r="E201" s="344"/>
      <c r="F201" s="344"/>
      <c r="G201" s="344"/>
      <c r="H201" s="344"/>
      <c r="I201" s="344"/>
      <c r="J201" s="344"/>
      <c r="K201" s="344"/>
      <c r="L201" s="360"/>
      <c r="M201" s="360"/>
      <c r="T201" s="132"/>
    </row>
    <row r="202" spans="1:20" s="347" customFormat="1">
      <c r="A202" s="344"/>
      <c r="B202" s="344"/>
      <c r="C202" s="344"/>
      <c r="D202" s="344"/>
      <c r="E202" s="344"/>
      <c r="F202" s="344"/>
      <c r="G202" s="344"/>
      <c r="H202" s="344"/>
      <c r="I202" s="344"/>
      <c r="J202" s="344"/>
      <c r="K202" s="344"/>
      <c r="L202" s="360"/>
      <c r="M202" s="360"/>
      <c r="T202" s="132"/>
    </row>
    <row r="203" spans="1:20" s="347" customFormat="1">
      <c r="A203" s="344"/>
      <c r="B203" s="344"/>
      <c r="C203" s="344"/>
      <c r="D203" s="344"/>
      <c r="E203" s="344"/>
      <c r="F203" s="344"/>
      <c r="G203" s="344"/>
      <c r="H203" s="344"/>
      <c r="I203" s="344"/>
      <c r="J203" s="344"/>
      <c r="K203" s="344"/>
      <c r="L203" s="360"/>
      <c r="M203" s="360"/>
      <c r="T203" s="132"/>
    </row>
    <row r="204" spans="1:20" s="347" customFormat="1">
      <c r="A204" s="344"/>
      <c r="B204" s="344"/>
      <c r="C204" s="344"/>
      <c r="D204" s="344"/>
      <c r="E204" s="344"/>
      <c r="F204" s="344"/>
      <c r="G204" s="344"/>
      <c r="H204" s="344"/>
      <c r="I204" s="344"/>
      <c r="J204" s="344"/>
      <c r="K204" s="344"/>
      <c r="L204" s="360"/>
      <c r="M204" s="360"/>
      <c r="T204" s="132"/>
    </row>
    <row r="205" spans="1:20" s="347" customFormat="1">
      <c r="A205" s="344"/>
      <c r="B205" s="344"/>
      <c r="C205" s="344"/>
      <c r="D205" s="344"/>
      <c r="E205" s="344"/>
      <c r="F205" s="344"/>
      <c r="G205" s="344"/>
      <c r="H205" s="344"/>
      <c r="I205" s="344"/>
      <c r="J205" s="344"/>
      <c r="K205" s="344"/>
      <c r="L205" s="360"/>
      <c r="M205" s="360"/>
      <c r="T205" s="132"/>
    </row>
    <row r="206" spans="1:20" s="347" customFormat="1">
      <c r="A206" s="344"/>
      <c r="B206" s="344"/>
      <c r="C206" s="344"/>
      <c r="D206" s="344"/>
      <c r="E206" s="344"/>
      <c r="F206" s="344"/>
      <c r="G206" s="344"/>
      <c r="H206" s="344"/>
      <c r="I206" s="344"/>
      <c r="J206" s="344"/>
      <c r="K206" s="344"/>
      <c r="L206" s="360"/>
      <c r="M206" s="360"/>
      <c r="T206" s="132"/>
    </row>
    <row r="207" spans="1:20" s="347" customFormat="1">
      <c r="A207" s="344"/>
      <c r="B207" s="344"/>
      <c r="C207" s="344"/>
      <c r="D207" s="344"/>
      <c r="E207" s="344"/>
      <c r="F207" s="344"/>
      <c r="G207" s="344"/>
      <c r="H207" s="344"/>
      <c r="I207" s="344"/>
      <c r="J207" s="344"/>
      <c r="K207" s="344"/>
      <c r="L207" s="360"/>
      <c r="M207" s="360"/>
      <c r="T207" s="132"/>
    </row>
    <row r="208" spans="1:20" s="347" customFormat="1">
      <c r="A208" s="344"/>
      <c r="B208" s="344"/>
      <c r="C208" s="344"/>
      <c r="D208" s="344"/>
      <c r="E208" s="344"/>
      <c r="F208" s="344"/>
      <c r="G208" s="344"/>
      <c r="H208" s="344"/>
      <c r="I208" s="344"/>
      <c r="J208" s="344"/>
      <c r="K208" s="344"/>
      <c r="L208" s="360"/>
      <c r="M208" s="360"/>
      <c r="T208" s="132"/>
    </row>
    <row r="209" spans="1:20" s="347" customFormat="1">
      <c r="A209" s="344"/>
      <c r="B209" s="344"/>
      <c r="C209" s="344"/>
      <c r="D209" s="344"/>
      <c r="E209" s="344"/>
      <c r="F209" s="344"/>
      <c r="G209" s="344"/>
      <c r="H209" s="344"/>
      <c r="I209" s="344"/>
      <c r="J209" s="344"/>
      <c r="K209" s="344"/>
      <c r="L209" s="360"/>
      <c r="M209" s="360"/>
      <c r="T209" s="132"/>
    </row>
    <row r="210" spans="1:20" s="347" customFormat="1">
      <c r="A210" s="344"/>
      <c r="B210" s="344"/>
      <c r="C210" s="344"/>
      <c r="D210" s="344"/>
      <c r="E210" s="344"/>
      <c r="F210" s="344"/>
      <c r="G210" s="344"/>
      <c r="H210" s="344"/>
      <c r="I210" s="344"/>
      <c r="J210" s="344"/>
      <c r="K210" s="344"/>
      <c r="L210" s="360"/>
      <c r="M210" s="360"/>
      <c r="T210" s="132"/>
    </row>
    <row r="211" spans="1:20" s="347" customFormat="1">
      <c r="A211" s="344"/>
      <c r="B211" s="344"/>
      <c r="C211" s="344"/>
      <c r="D211" s="344"/>
      <c r="E211" s="344"/>
      <c r="F211" s="344"/>
      <c r="G211" s="344"/>
      <c r="H211" s="344"/>
      <c r="I211" s="344"/>
      <c r="J211" s="344"/>
      <c r="K211" s="344"/>
      <c r="L211" s="360"/>
      <c r="M211" s="360"/>
      <c r="T211" s="132"/>
    </row>
    <row r="212" spans="1:20" s="347" customFormat="1">
      <c r="A212" s="344"/>
      <c r="B212" s="344"/>
      <c r="C212" s="344"/>
      <c r="D212" s="344"/>
      <c r="E212" s="344"/>
      <c r="F212" s="344"/>
      <c r="G212" s="344"/>
      <c r="H212" s="344"/>
      <c r="I212" s="344"/>
      <c r="J212" s="344"/>
      <c r="K212" s="344"/>
      <c r="L212" s="360"/>
      <c r="M212" s="360"/>
      <c r="T212" s="132"/>
    </row>
    <row r="213" spans="1:20" s="347" customFormat="1">
      <c r="A213" s="344"/>
      <c r="B213" s="344"/>
      <c r="C213" s="344"/>
      <c r="D213" s="344"/>
      <c r="E213" s="344"/>
      <c r="F213" s="344"/>
      <c r="G213" s="344"/>
      <c r="H213" s="344"/>
      <c r="I213" s="344"/>
      <c r="J213" s="344"/>
      <c r="K213" s="344"/>
      <c r="L213" s="360"/>
      <c r="M213" s="360"/>
      <c r="T213" s="132"/>
    </row>
    <row r="214" spans="1:20" s="347" customFormat="1">
      <c r="A214" s="344"/>
      <c r="B214" s="344"/>
      <c r="C214" s="344"/>
      <c r="D214" s="344"/>
      <c r="E214" s="344"/>
      <c r="F214" s="344"/>
      <c r="G214" s="344"/>
      <c r="H214" s="344"/>
      <c r="I214" s="344"/>
      <c r="J214" s="344"/>
      <c r="K214" s="344"/>
      <c r="L214" s="360"/>
      <c r="M214" s="360"/>
      <c r="T214" s="132"/>
    </row>
    <row r="215" spans="1:20" s="347" customFormat="1">
      <c r="A215" s="344"/>
      <c r="B215" s="344"/>
      <c r="C215" s="344"/>
      <c r="D215" s="344"/>
      <c r="E215" s="344"/>
      <c r="F215" s="344"/>
      <c r="G215" s="344"/>
      <c r="H215" s="344"/>
      <c r="I215" s="344"/>
      <c r="J215" s="344"/>
      <c r="K215" s="344"/>
      <c r="L215" s="360"/>
      <c r="M215" s="360"/>
      <c r="T215" s="132"/>
    </row>
    <row r="216" spans="1:20" s="347" customFormat="1">
      <c r="A216" s="344"/>
      <c r="B216" s="344"/>
      <c r="C216" s="344"/>
      <c r="D216" s="344"/>
      <c r="E216" s="344"/>
      <c r="F216" s="344"/>
      <c r="G216" s="344"/>
      <c r="H216" s="344"/>
      <c r="I216" s="344"/>
      <c r="J216" s="344"/>
      <c r="K216" s="344"/>
      <c r="L216" s="360"/>
      <c r="M216" s="360"/>
      <c r="T216" s="132"/>
    </row>
    <row r="217" spans="1:20" s="347" customFormat="1">
      <c r="A217" s="344"/>
      <c r="B217" s="344"/>
      <c r="C217" s="344"/>
      <c r="D217" s="344"/>
      <c r="E217" s="344"/>
      <c r="F217" s="344"/>
      <c r="G217" s="344"/>
      <c r="H217" s="344"/>
      <c r="I217" s="344"/>
      <c r="J217" s="344"/>
      <c r="K217" s="344"/>
      <c r="L217" s="360"/>
      <c r="M217" s="360"/>
      <c r="T217" s="132"/>
    </row>
    <row r="218" spans="1:20" s="347" customFormat="1">
      <c r="A218" s="344"/>
      <c r="B218" s="344"/>
      <c r="C218" s="344"/>
      <c r="D218" s="344"/>
      <c r="E218" s="344"/>
      <c r="F218" s="344"/>
      <c r="G218" s="344"/>
      <c r="H218" s="344"/>
      <c r="I218" s="344"/>
      <c r="J218" s="344"/>
      <c r="K218" s="344"/>
      <c r="L218" s="360"/>
      <c r="M218" s="360"/>
      <c r="T218" s="132"/>
    </row>
    <row r="219" spans="1:20" s="347" customFormat="1">
      <c r="A219" s="344"/>
      <c r="B219" s="344"/>
      <c r="C219" s="344"/>
      <c r="D219" s="344"/>
      <c r="E219" s="344"/>
      <c r="F219" s="344"/>
      <c r="G219" s="344"/>
      <c r="H219" s="344"/>
      <c r="I219" s="344"/>
      <c r="J219" s="344"/>
      <c r="K219" s="344"/>
      <c r="L219" s="360"/>
      <c r="M219" s="360"/>
      <c r="T219" s="132"/>
    </row>
    <row r="220" spans="1:20" s="347" customFormat="1">
      <c r="A220" s="344"/>
      <c r="B220" s="344"/>
      <c r="C220" s="344"/>
      <c r="D220" s="344"/>
      <c r="E220" s="344"/>
      <c r="F220" s="344"/>
      <c r="G220" s="344"/>
      <c r="H220" s="344"/>
      <c r="I220" s="344"/>
      <c r="J220" s="344"/>
      <c r="K220" s="344"/>
      <c r="L220" s="360"/>
      <c r="M220" s="360"/>
      <c r="T220" s="132"/>
    </row>
    <row r="221" spans="1:20" s="347" customFormat="1">
      <c r="A221" s="344"/>
      <c r="B221" s="344"/>
      <c r="C221" s="344"/>
      <c r="D221" s="344"/>
      <c r="E221" s="344"/>
      <c r="F221" s="344"/>
      <c r="G221" s="344"/>
      <c r="H221" s="344"/>
      <c r="I221" s="344"/>
      <c r="J221" s="344"/>
      <c r="K221" s="344"/>
      <c r="L221" s="360"/>
      <c r="M221" s="360"/>
      <c r="T221" s="132"/>
    </row>
    <row r="222" spans="1:20" s="347" customFormat="1">
      <c r="A222" s="344"/>
      <c r="B222" s="344"/>
      <c r="C222" s="344"/>
      <c r="D222" s="344"/>
      <c r="E222" s="344"/>
      <c r="F222" s="344"/>
      <c r="G222" s="344"/>
      <c r="H222" s="344"/>
      <c r="I222" s="344"/>
      <c r="J222" s="344"/>
      <c r="K222" s="344"/>
      <c r="L222" s="360"/>
      <c r="M222" s="360"/>
      <c r="T222" s="132"/>
    </row>
    <row r="223" spans="1:20" s="347" customFormat="1">
      <c r="A223" s="344"/>
      <c r="B223" s="344"/>
      <c r="C223" s="344"/>
      <c r="D223" s="344"/>
      <c r="E223" s="344"/>
      <c r="F223" s="344"/>
      <c r="G223" s="344"/>
      <c r="H223" s="344"/>
      <c r="I223" s="344"/>
      <c r="J223" s="344"/>
      <c r="K223" s="344"/>
      <c r="L223" s="360"/>
      <c r="M223" s="360"/>
      <c r="T223" s="132"/>
    </row>
  </sheetData>
  <mergeCells count="9">
    <mergeCell ref="L1:M1"/>
    <mergeCell ref="L2:M2"/>
    <mergeCell ref="N1:O1"/>
    <mergeCell ref="N2:O2"/>
    <mergeCell ref="A33:E33"/>
    <mergeCell ref="A15:F15"/>
    <mergeCell ref="C27:F27"/>
    <mergeCell ref="G27:J27"/>
    <mergeCell ref="L3:O3"/>
  </mergeCells>
  <conditionalFormatting sqref="A5:V11">
    <cfRule type="expression" dxfId="290" priority="10">
      <formula>$B5="Całkowita masa odpadów"</formula>
    </cfRule>
    <cfRule type="expression" dxfId="289" priority="11">
      <formula>$B5="Wybrany strumień odpadu"</formula>
    </cfRule>
  </conditionalFormatting>
  <conditionalFormatting sqref="A5:V11">
    <cfRule type="expression" dxfId="288" priority="12">
      <formula>$B5="Wyłączony z obrotu"</formula>
    </cfRule>
  </conditionalFormatting>
  <dataValidations count="1">
    <dataValidation allowBlank="1" showInputMessage="1" sqref="K40:K45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8" r:id="rId4" name="Ryczałt_GL">
          <controlPr defaultSize="0" autoLine="0" autoPict="0" r:id="rId5">
            <anchor moveWithCells="1" sizeWithCells="1">
              <from>
                <xdr:col>5</xdr:col>
                <xdr:colOff>0</xdr:colOff>
                <xdr:row>32</xdr:row>
                <xdr:rowOff>0</xdr:rowOff>
              </from>
              <to>
                <xdr:col>6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17418" r:id="rId4" name="Ryczałt_GL"/>
      </mc:Fallback>
    </mc:AlternateContent>
    <mc:AlternateContent xmlns:mc="http://schemas.openxmlformats.org/markup-compatibility/2006">
      <mc:Choice Requires="x14">
        <control shapeId="17411" r:id="rId6" name="CommandButton1">
          <controlPr defaultSize="0" autoLine="0" autoPict="0" r:id="rId7">
            <anchor moveWithCells="1" sizeWithCells="1">
              <from>
                <xdr:col>9</xdr:col>
                <xdr:colOff>0</xdr:colOff>
                <xdr:row>0</xdr:row>
                <xdr:rowOff>0</xdr:rowOff>
              </from>
              <to>
                <xdr:col>10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741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Listy_rozwijane!$K$2:$K$4</xm:f>
          </x14:formula1>
          <xm:sqref>C5:C11</xm:sqref>
        </x14:dataValidation>
        <x14:dataValidation type="list" allowBlank="1" showInputMessage="1">
          <x14:formula1>
            <xm:f>Listy_rozwijane!$AC$2:$AC$10</xm:f>
          </x14:formula1>
          <xm:sqref>B17:B24</xm:sqref>
        </x14:dataValidation>
        <x14:dataValidation type="list" allowBlank="1" showInputMessage="1" showErrorMessage="1">
          <x14:formula1>
            <xm:f>Listy_rozwijane!$I$36:$I$37</xm:f>
          </x14:formula1>
          <xm:sqref>H5:H11</xm:sqref>
        </x14:dataValidation>
        <x14:dataValidation type="list" allowBlank="1" showInputMessage="1" showErrorMessage="1">
          <x14:formula1>
            <xm:f>Listy_rozwijane!$M$19:$M$22</xm:f>
          </x14:formula1>
          <xm:sqref>B5:B11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1">
    <tabColor theme="0" tint="-0.14999847407452621"/>
  </sheetPr>
  <dimension ref="A1:B430"/>
  <sheetViews>
    <sheetView workbookViewId="0">
      <selection activeCell="D8" sqref="D8"/>
    </sheetView>
  </sheetViews>
  <sheetFormatPr defaultRowHeight="13.2"/>
  <cols>
    <col min="1" max="2" width="16.6640625" style="66" customWidth="1"/>
    <col min="3" max="3" width="15.44140625" bestFit="1" customWidth="1"/>
  </cols>
  <sheetData>
    <row r="1" spans="1:2">
      <c r="A1" s="64" t="s">
        <v>2180</v>
      </c>
      <c r="B1" s="64" t="s">
        <v>2181</v>
      </c>
    </row>
    <row r="2" spans="1:2">
      <c r="A2" s="65" t="s">
        <v>2182</v>
      </c>
      <c r="B2" s="65" t="s">
        <v>2182</v>
      </c>
    </row>
    <row r="3" spans="1:2">
      <c r="A3" s="66" t="s">
        <v>2345</v>
      </c>
      <c r="B3" s="67">
        <v>43101.618495370371</v>
      </c>
    </row>
    <row r="4" spans="1:2">
      <c r="A4" s="66" t="s">
        <v>2345</v>
      </c>
      <c r="B4" s="67">
        <v>43101.621817129628</v>
      </c>
    </row>
    <row r="5" spans="1:2">
      <c r="A5" s="66" t="s">
        <v>2345</v>
      </c>
      <c r="B5" s="67">
        <v>43101.661712962959</v>
      </c>
    </row>
    <row r="6" spans="1:2">
      <c r="A6" s="66" t="s">
        <v>2345</v>
      </c>
      <c r="B6" s="67">
        <v>43101.662164351852</v>
      </c>
    </row>
    <row r="7" spans="1:2">
      <c r="A7" s="66" t="s">
        <v>2345</v>
      </c>
      <c r="B7" s="67">
        <v>43101.662291666667</v>
      </c>
    </row>
    <row r="8" spans="1:2">
      <c r="A8" s="66" t="s">
        <v>2345</v>
      </c>
      <c r="B8" s="67">
        <v>43101.662326388891</v>
      </c>
    </row>
    <row r="9" spans="1:2">
      <c r="A9" s="66" t="s">
        <v>2345</v>
      </c>
      <c r="B9" s="67">
        <v>43101.72111111111</v>
      </c>
    </row>
    <row r="10" spans="1:2">
      <c r="A10" s="66" t="s">
        <v>2345</v>
      </c>
      <c r="B10" s="67">
        <v>43101.725671296299</v>
      </c>
    </row>
    <row r="11" spans="1:2">
      <c r="A11" s="66" t="s">
        <v>2345</v>
      </c>
      <c r="B11" s="67">
        <v>43101.725844907407</v>
      </c>
    </row>
    <row r="12" spans="1:2">
      <c r="A12" s="66" t="s">
        <v>2526</v>
      </c>
      <c r="B12" s="67">
        <v>43102.344560185185</v>
      </c>
    </row>
    <row r="13" spans="1:2">
      <c r="A13" s="66" t="s">
        <v>2526</v>
      </c>
      <c r="B13" s="67">
        <v>43102.344733796293</v>
      </c>
    </row>
    <row r="14" spans="1:2">
      <c r="A14" s="66" t="s">
        <v>2526</v>
      </c>
      <c r="B14" s="67">
        <v>43102.345509259256</v>
      </c>
    </row>
    <row r="15" spans="1:2">
      <c r="A15" s="66" t="s">
        <v>2526</v>
      </c>
      <c r="B15" s="67">
        <v>43103.359814814816</v>
      </c>
    </row>
    <row r="16" spans="1:2">
      <c r="A16" s="66" t="s">
        <v>2526</v>
      </c>
      <c r="B16" s="67">
        <v>43103.359918981485</v>
      </c>
    </row>
    <row r="17" spans="1:2">
      <c r="A17" s="66" t="s">
        <v>2526</v>
      </c>
      <c r="B17" s="67">
        <v>43103.36613425926</v>
      </c>
    </row>
    <row r="18" spans="1:2">
      <c r="A18" s="66" t="s">
        <v>2526</v>
      </c>
      <c r="B18" s="67">
        <v>43103.366203703707</v>
      </c>
    </row>
    <row r="19" spans="1:2">
      <c r="A19" s="66" t="s">
        <v>2526</v>
      </c>
      <c r="B19" s="67">
        <v>43103.370578703703</v>
      </c>
    </row>
    <row r="20" spans="1:2">
      <c r="A20" s="66" t="s">
        <v>2526</v>
      </c>
      <c r="B20" s="67">
        <v>43103.372534722221</v>
      </c>
    </row>
    <row r="21" spans="1:2">
      <c r="A21" s="66" t="s">
        <v>2526</v>
      </c>
      <c r="B21" s="67">
        <v>43103.372650462959</v>
      </c>
    </row>
    <row r="22" spans="1:2">
      <c r="A22" s="66" t="s">
        <v>2526</v>
      </c>
      <c r="B22" s="67">
        <v>43103.373414351852</v>
      </c>
    </row>
    <row r="23" spans="1:2">
      <c r="A23" s="66" t="s">
        <v>2526</v>
      </c>
      <c r="B23" s="67">
        <v>43103.373518518521</v>
      </c>
    </row>
    <row r="24" spans="1:2">
      <c r="A24" s="66" t="s">
        <v>2526</v>
      </c>
      <c r="B24" s="67">
        <v>43103.374120370368</v>
      </c>
    </row>
    <row r="25" spans="1:2">
      <c r="A25" s="66" t="s">
        <v>2526</v>
      </c>
      <c r="B25" s="67">
        <v>43103.374571759261</v>
      </c>
    </row>
    <row r="26" spans="1:2">
      <c r="A26" s="66" t="s">
        <v>2526</v>
      </c>
      <c r="B26" s="67">
        <v>43103.374722222223</v>
      </c>
    </row>
    <row r="27" spans="1:2">
      <c r="A27" s="66" t="s">
        <v>2526</v>
      </c>
      <c r="B27" s="67">
        <v>43103.374756944446</v>
      </c>
    </row>
    <row r="28" spans="1:2">
      <c r="A28" s="66" t="s">
        <v>2526</v>
      </c>
      <c r="B28" s="67">
        <v>43103.375717592593</v>
      </c>
    </row>
    <row r="29" spans="1:2">
      <c r="A29" s="66" t="s">
        <v>2526</v>
      </c>
      <c r="B29" s="67">
        <v>43103.375937500001</v>
      </c>
    </row>
    <row r="30" spans="1:2">
      <c r="A30" s="66" t="s">
        <v>2526</v>
      </c>
      <c r="B30" s="67">
        <v>43103.468229166669</v>
      </c>
    </row>
    <row r="31" spans="1:2">
      <c r="A31" s="66" t="s">
        <v>2526</v>
      </c>
      <c r="B31" s="67">
        <v>43103.468773148146</v>
      </c>
    </row>
    <row r="32" spans="1:2">
      <c r="A32" s="66" t="s">
        <v>2526</v>
      </c>
      <c r="B32" s="67">
        <v>43103.470509259256</v>
      </c>
    </row>
    <row r="33" spans="1:2">
      <c r="A33" s="66" t="s">
        <v>2526</v>
      </c>
      <c r="B33" s="67">
        <v>43103.471319444441</v>
      </c>
    </row>
    <row r="34" spans="1:2">
      <c r="A34" s="66" t="s">
        <v>2526</v>
      </c>
      <c r="B34" s="67">
        <v>43103.474537037036</v>
      </c>
    </row>
    <row r="35" spans="1:2">
      <c r="A35" s="66" t="s">
        <v>2526</v>
      </c>
      <c r="B35" s="67">
        <v>43103.489282407405</v>
      </c>
    </row>
    <row r="36" spans="1:2">
      <c r="A36" s="66" t="s">
        <v>2526</v>
      </c>
      <c r="B36" s="67">
        <v>43103.48946759259</v>
      </c>
    </row>
    <row r="37" spans="1:2">
      <c r="A37" s="66" t="s">
        <v>2526</v>
      </c>
      <c r="B37" s="67">
        <v>43103.491307870368</v>
      </c>
    </row>
    <row r="38" spans="1:2">
      <c r="A38" s="66" t="s">
        <v>2526</v>
      </c>
      <c r="B38" s="67">
        <v>43103.492627314816</v>
      </c>
    </row>
    <row r="39" spans="1:2">
      <c r="A39" s="66" t="s">
        <v>2526</v>
      </c>
      <c r="B39" s="67">
        <v>43103.493090277778</v>
      </c>
    </row>
    <row r="40" spans="1:2">
      <c r="A40" s="66" t="s">
        <v>2526</v>
      </c>
      <c r="B40" s="67">
        <v>43103.497002314813</v>
      </c>
    </row>
    <row r="41" spans="1:2">
      <c r="A41" s="66" t="s">
        <v>2526</v>
      </c>
      <c r="B41" s="67">
        <v>43103.497199074074</v>
      </c>
    </row>
    <row r="42" spans="1:2">
      <c r="A42" s="66" t="s">
        <v>2526</v>
      </c>
      <c r="B42" s="67">
        <v>43103.497523148151</v>
      </c>
    </row>
    <row r="43" spans="1:2">
      <c r="A43" s="66" t="s">
        <v>2526</v>
      </c>
      <c r="B43" s="67">
        <v>43103.507418981484</v>
      </c>
    </row>
    <row r="44" spans="1:2">
      <c r="A44" s="66" t="s">
        <v>2526</v>
      </c>
      <c r="B44" s="67">
        <v>43103.508587962962</v>
      </c>
    </row>
    <row r="45" spans="1:2">
      <c r="A45" s="66" t="s">
        <v>2526</v>
      </c>
      <c r="B45" s="67">
        <v>43103.513796296298</v>
      </c>
    </row>
    <row r="46" spans="1:2">
      <c r="A46" s="66" t="s">
        <v>2526</v>
      </c>
      <c r="B46" s="67">
        <v>43103.515081018515</v>
      </c>
    </row>
    <row r="47" spans="1:2">
      <c r="A47" s="66" t="s">
        <v>2526</v>
      </c>
      <c r="B47" s="67">
        <v>43103.54179398148</v>
      </c>
    </row>
    <row r="48" spans="1:2">
      <c r="A48" s="66" t="s">
        <v>2526</v>
      </c>
      <c r="B48" s="67">
        <v>43103.572766203702</v>
      </c>
    </row>
    <row r="49" spans="1:2">
      <c r="A49" s="66" t="s">
        <v>2526</v>
      </c>
      <c r="B49" s="67">
        <v>43103.573425925926</v>
      </c>
    </row>
    <row r="50" spans="1:2">
      <c r="A50" s="66" t="s">
        <v>2526</v>
      </c>
      <c r="B50" s="67">
        <v>43103.647094907406</v>
      </c>
    </row>
    <row r="51" spans="1:2">
      <c r="A51" s="66" t="s">
        <v>2526</v>
      </c>
      <c r="B51" s="67">
        <v>43103.647187499999</v>
      </c>
    </row>
    <row r="52" spans="1:2">
      <c r="A52" s="66" t="s">
        <v>2526</v>
      </c>
      <c r="B52" s="67">
        <v>43103.648541666669</v>
      </c>
    </row>
    <row r="53" spans="1:2">
      <c r="A53" s="66" t="s">
        <v>2526</v>
      </c>
      <c r="B53" s="67">
        <v>43103.648587962962</v>
      </c>
    </row>
    <row r="54" spans="1:2">
      <c r="A54" s="66" t="s">
        <v>2526</v>
      </c>
      <c r="B54" s="67">
        <v>43103.650185185186</v>
      </c>
    </row>
    <row r="55" spans="1:2">
      <c r="A55" s="66" t="s">
        <v>2528</v>
      </c>
      <c r="B55" s="67">
        <v>43103.652951388889</v>
      </c>
    </row>
    <row r="56" spans="1:2">
      <c r="A56" s="66" t="s">
        <v>2528</v>
      </c>
      <c r="B56" s="67">
        <v>43103.663425925923</v>
      </c>
    </row>
    <row r="57" spans="1:2">
      <c r="A57" s="66" t="s">
        <v>2528</v>
      </c>
      <c r="B57" s="67">
        <v>43103.670682870368</v>
      </c>
    </row>
    <row r="58" spans="1:2">
      <c r="A58" s="66" t="s">
        <v>2528</v>
      </c>
      <c r="B58" s="67">
        <v>43103.673437500001</v>
      </c>
    </row>
    <row r="59" spans="1:2">
      <c r="A59" s="66" t="s">
        <v>2526</v>
      </c>
      <c r="B59" s="67">
        <v>43104.455763888887</v>
      </c>
    </row>
    <row r="60" spans="1:2">
      <c r="A60" s="66" t="s">
        <v>2526</v>
      </c>
      <c r="B60" s="67">
        <v>43104.455833333333</v>
      </c>
    </row>
    <row r="61" spans="1:2">
      <c r="A61" s="66" t="s">
        <v>2526</v>
      </c>
      <c r="B61" s="67">
        <v>43104.455891203703</v>
      </c>
    </row>
    <row r="62" spans="1:2">
      <c r="A62" s="66" t="s">
        <v>2526</v>
      </c>
      <c r="B62" s="67">
        <v>43111.521527777775</v>
      </c>
    </row>
    <row r="63" spans="1:2">
      <c r="A63" s="66" t="s">
        <v>2526</v>
      </c>
      <c r="B63" s="67">
        <v>43143.387997685182</v>
      </c>
    </row>
    <row r="64" spans="1:2">
      <c r="A64" s="66" t="s">
        <v>2526</v>
      </c>
      <c r="B64" s="67">
        <v>43143.388703703706</v>
      </c>
    </row>
    <row r="65" spans="1:2">
      <c r="A65" s="66" t="s">
        <v>2526</v>
      </c>
      <c r="B65" s="67">
        <v>43143.388935185183</v>
      </c>
    </row>
    <row r="66" spans="1:2">
      <c r="A66" s="66" t="s">
        <v>2526</v>
      </c>
      <c r="B66" s="67">
        <v>43143.39135416667</v>
      </c>
    </row>
    <row r="67" spans="1:2">
      <c r="A67" s="66" t="s">
        <v>2526</v>
      </c>
      <c r="B67" s="67">
        <v>43143.394236111111</v>
      </c>
    </row>
    <row r="68" spans="1:2">
      <c r="A68" s="66" t="s">
        <v>2526</v>
      </c>
      <c r="B68" s="67">
        <v>43143.397164351853</v>
      </c>
    </row>
    <row r="69" spans="1:2">
      <c r="A69" s="66" t="s">
        <v>2526</v>
      </c>
      <c r="B69" s="67">
        <v>43143.399837962963</v>
      </c>
    </row>
    <row r="70" spans="1:2">
      <c r="A70" s="66" t="s">
        <v>2526</v>
      </c>
      <c r="B70" s="67">
        <v>43143.418414351851</v>
      </c>
    </row>
    <row r="71" spans="1:2">
      <c r="A71" s="66" t="s">
        <v>2526</v>
      </c>
      <c r="B71" s="67">
        <v>43143.427187499998</v>
      </c>
    </row>
    <row r="72" spans="1:2">
      <c r="A72" s="66" t="s">
        <v>2526</v>
      </c>
      <c r="B72" s="67">
        <v>43143.428541666668</v>
      </c>
    </row>
    <row r="73" spans="1:2">
      <c r="A73" s="66" t="s">
        <v>2526</v>
      </c>
      <c r="B73" s="67">
        <v>43143.428703703707</v>
      </c>
    </row>
    <row r="74" spans="1:2">
      <c r="A74" s="66" t="s">
        <v>2526</v>
      </c>
      <c r="B74" s="67">
        <v>43143.433217592596</v>
      </c>
    </row>
    <row r="75" spans="1:2">
      <c r="A75" s="66" t="s">
        <v>2526</v>
      </c>
      <c r="B75" s="67">
        <v>43143.445937500001</v>
      </c>
    </row>
    <row r="76" spans="1:2">
      <c r="A76" s="66" t="s">
        <v>2526</v>
      </c>
      <c r="B76" s="67">
        <v>43143.452569444446</v>
      </c>
    </row>
    <row r="77" spans="1:2">
      <c r="A77" s="66" t="s">
        <v>2526</v>
      </c>
      <c r="B77" s="67">
        <v>43143.457349537035</v>
      </c>
    </row>
    <row r="78" spans="1:2">
      <c r="A78" s="66" t="s">
        <v>2526</v>
      </c>
      <c r="B78" s="67">
        <v>43143.469675925924</v>
      </c>
    </row>
    <row r="79" spans="1:2">
      <c r="A79" s="66" t="s">
        <v>2526</v>
      </c>
      <c r="B79" s="67">
        <v>43143.473958333336</v>
      </c>
    </row>
    <row r="80" spans="1:2">
      <c r="A80" s="66" t="s">
        <v>2526</v>
      </c>
      <c r="B80" s="67">
        <v>43143.503611111111</v>
      </c>
    </row>
    <row r="81" spans="1:2">
      <c r="A81" s="66" t="s">
        <v>2526</v>
      </c>
      <c r="B81" s="67">
        <v>43143.516168981485</v>
      </c>
    </row>
    <row r="82" spans="1:2">
      <c r="A82" s="66" t="s">
        <v>2526</v>
      </c>
      <c r="B82" s="67">
        <v>43143.519166666665</v>
      </c>
    </row>
    <row r="83" spans="1:2">
      <c r="A83" s="66" t="s">
        <v>2526</v>
      </c>
      <c r="B83" s="67">
        <v>43143.521238425928</v>
      </c>
    </row>
    <row r="84" spans="1:2">
      <c r="A84" s="66" t="s">
        <v>2526</v>
      </c>
      <c r="B84" s="67">
        <v>43143.525300925925</v>
      </c>
    </row>
    <row r="85" spans="1:2">
      <c r="A85" s="66" t="s">
        <v>2526</v>
      </c>
      <c r="B85" s="67">
        <v>43143.530671296299</v>
      </c>
    </row>
    <row r="86" spans="1:2">
      <c r="A86" s="66" t="s">
        <v>2526</v>
      </c>
      <c r="B86" s="67">
        <v>43143.531678240739</v>
      </c>
    </row>
    <row r="87" spans="1:2">
      <c r="A87" s="66" t="s">
        <v>2526</v>
      </c>
      <c r="B87" s="67">
        <v>43143.553055555552</v>
      </c>
    </row>
    <row r="88" spans="1:2">
      <c r="A88" s="66" t="s">
        <v>2526</v>
      </c>
      <c r="B88" s="67">
        <v>43143.571643518517</v>
      </c>
    </row>
    <row r="89" spans="1:2">
      <c r="A89" s="66" t="s">
        <v>2526</v>
      </c>
      <c r="B89" s="67">
        <v>43143.573483796295</v>
      </c>
    </row>
    <row r="90" spans="1:2">
      <c r="A90" s="66" t="s">
        <v>2526</v>
      </c>
      <c r="B90" s="67">
        <v>43143.573506944442</v>
      </c>
    </row>
    <row r="91" spans="1:2">
      <c r="A91" s="66" t="s">
        <v>2526</v>
      </c>
      <c r="B91" s="67">
        <v>43143.573703703703</v>
      </c>
    </row>
    <row r="92" spans="1:2">
      <c r="A92" s="66" t="s">
        <v>2526</v>
      </c>
      <c r="B92" s="67">
        <v>43143.575104166666</v>
      </c>
    </row>
    <row r="93" spans="1:2">
      <c r="A93" s="66" t="s">
        <v>2526</v>
      </c>
      <c r="B93" s="67">
        <v>43143.576203703706</v>
      </c>
    </row>
    <row r="94" spans="1:2">
      <c r="A94" s="66" t="s">
        <v>2526</v>
      </c>
      <c r="B94" s="67">
        <v>43143.576377314814</v>
      </c>
    </row>
    <row r="95" spans="1:2">
      <c r="A95" s="66" t="s">
        <v>2526</v>
      </c>
      <c r="B95" s="67">
        <v>43143.577361111114</v>
      </c>
    </row>
    <row r="96" spans="1:2">
      <c r="A96" s="66" t="s">
        <v>2526</v>
      </c>
      <c r="B96" s="67">
        <v>43143.579687500001</v>
      </c>
    </row>
    <row r="97" spans="1:2">
      <c r="A97" s="66" t="s">
        <v>2526</v>
      </c>
      <c r="B97" s="67">
        <v>43143.582499999997</v>
      </c>
    </row>
    <row r="98" spans="1:2">
      <c r="A98" s="66" t="s">
        <v>2526</v>
      </c>
      <c r="B98" s="67">
        <v>43143.582939814813</v>
      </c>
    </row>
    <row r="99" spans="1:2">
      <c r="A99" s="66" t="s">
        <v>2526</v>
      </c>
      <c r="B99" s="67">
        <v>43143.586493055554</v>
      </c>
    </row>
    <row r="100" spans="1:2">
      <c r="A100" s="66" t="s">
        <v>2526</v>
      </c>
      <c r="B100" s="67">
        <v>43143.586585648147</v>
      </c>
    </row>
    <row r="101" spans="1:2">
      <c r="A101" s="66" t="s">
        <v>2526</v>
      </c>
      <c r="B101" s="67">
        <v>43143.593842592592</v>
      </c>
    </row>
    <row r="102" spans="1:2">
      <c r="A102" s="66" t="s">
        <v>2526</v>
      </c>
      <c r="B102" s="67">
        <v>43143.594004629631</v>
      </c>
    </row>
    <row r="103" spans="1:2">
      <c r="A103" s="66" t="s">
        <v>2526</v>
      </c>
      <c r="B103" s="67">
        <v>43143.600717592592</v>
      </c>
    </row>
    <row r="104" spans="1:2">
      <c r="A104" s="66" t="s">
        <v>2526</v>
      </c>
      <c r="B104" s="67">
        <v>43143.601446759261</v>
      </c>
    </row>
    <row r="105" spans="1:2">
      <c r="A105" s="66" t="s">
        <v>2526</v>
      </c>
      <c r="B105" s="67">
        <v>43143.601863425924</v>
      </c>
    </row>
    <row r="106" spans="1:2">
      <c r="A106" s="66" t="s">
        <v>2526</v>
      </c>
      <c r="B106" s="67">
        <v>43143.602719907409</v>
      </c>
    </row>
    <row r="107" spans="1:2">
      <c r="A107" s="66" t="s">
        <v>2526</v>
      </c>
      <c r="B107" s="67">
        <v>43143.603414351855</v>
      </c>
    </row>
    <row r="108" spans="1:2">
      <c r="A108" s="66" t="s">
        <v>2526</v>
      </c>
      <c r="B108" s="67">
        <v>43143.604618055557</v>
      </c>
    </row>
    <row r="109" spans="1:2">
      <c r="A109" s="66" t="s">
        <v>2526</v>
      </c>
      <c r="B109" s="67">
        <v>43143.605798611112</v>
      </c>
    </row>
    <row r="110" spans="1:2">
      <c r="A110" s="66" t="s">
        <v>2526</v>
      </c>
      <c r="B110" s="67">
        <v>43143.60597222222</v>
      </c>
    </row>
    <row r="111" spans="1:2">
      <c r="A111" s="66" t="s">
        <v>2526</v>
      </c>
      <c r="B111" s="67">
        <v>43143.607060185182</v>
      </c>
    </row>
    <row r="112" spans="1:2">
      <c r="A112" s="66" t="s">
        <v>2526</v>
      </c>
      <c r="B112" s="67">
        <v>43143.620312500003</v>
      </c>
    </row>
    <row r="113" spans="1:2">
      <c r="A113" s="66" t="s">
        <v>2526</v>
      </c>
      <c r="B113" s="67">
        <v>43143.620671296296</v>
      </c>
    </row>
    <row r="114" spans="1:2">
      <c r="A114" s="66" t="s">
        <v>2526</v>
      </c>
      <c r="B114" s="67">
        <v>43143.621076388888</v>
      </c>
    </row>
    <row r="115" spans="1:2">
      <c r="A115" s="66" t="s">
        <v>2526</v>
      </c>
      <c r="B115" s="67">
        <v>43143.626180555555</v>
      </c>
    </row>
    <row r="116" spans="1:2">
      <c r="A116" s="66" t="s">
        <v>2526</v>
      </c>
      <c r="B116" s="67">
        <v>43143.631215277775</v>
      </c>
    </row>
    <row r="117" spans="1:2">
      <c r="A117" s="66" t="s">
        <v>2526</v>
      </c>
      <c r="B117" s="67">
        <v>43143.637569444443</v>
      </c>
    </row>
    <row r="118" spans="1:2">
      <c r="A118" s="66" t="s">
        <v>2526</v>
      </c>
      <c r="B118" s="67">
        <v>43143.645879629628</v>
      </c>
    </row>
    <row r="119" spans="1:2">
      <c r="A119" s="66" t="s">
        <v>2526</v>
      </c>
      <c r="B119" s="67">
        <v>43143.650023148148</v>
      </c>
    </row>
    <row r="120" spans="1:2">
      <c r="A120" s="66" t="s">
        <v>2526</v>
      </c>
      <c r="B120" s="67">
        <v>43144.355925925927</v>
      </c>
    </row>
    <row r="121" spans="1:2">
      <c r="A121" s="66" t="s">
        <v>2526</v>
      </c>
      <c r="B121" s="67">
        <v>43144.358124999999</v>
      </c>
    </row>
    <row r="122" spans="1:2">
      <c r="A122" s="66" t="s">
        <v>2526</v>
      </c>
      <c r="B122" s="67">
        <v>43144.369953703703</v>
      </c>
    </row>
    <row r="123" spans="1:2">
      <c r="A123" s="66" t="s">
        <v>2526</v>
      </c>
      <c r="B123" s="67">
        <v>43144.385613425926</v>
      </c>
    </row>
    <row r="124" spans="1:2">
      <c r="A124" s="66" t="s">
        <v>2526</v>
      </c>
      <c r="B124" s="67">
        <v>43144.386041666665</v>
      </c>
    </row>
    <row r="125" spans="1:2">
      <c r="A125" s="66" t="s">
        <v>2526</v>
      </c>
      <c r="B125" s="67">
        <v>43144.386122685188</v>
      </c>
    </row>
    <row r="126" spans="1:2">
      <c r="A126" s="66" t="s">
        <v>2526</v>
      </c>
      <c r="B126" s="67">
        <v>43144.394016203703</v>
      </c>
    </row>
    <row r="127" spans="1:2">
      <c r="A127" s="66" t="s">
        <v>2526</v>
      </c>
      <c r="B127" s="67">
        <v>43144.396539351852</v>
      </c>
    </row>
    <row r="128" spans="1:2">
      <c r="A128" s="66" t="s">
        <v>2526</v>
      </c>
      <c r="B128" s="67">
        <v>43144.398668981485</v>
      </c>
    </row>
    <row r="129" spans="1:2">
      <c r="A129" s="66" t="s">
        <v>2526</v>
      </c>
      <c r="B129" s="67">
        <v>43144.399525462963</v>
      </c>
    </row>
    <row r="130" spans="1:2">
      <c r="A130" s="66" t="s">
        <v>2526</v>
      </c>
      <c r="B130" s="67">
        <v>43144.407986111109</v>
      </c>
    </row>
    <row r="131" spans="1:2">
      <c r="A131" s="66" t="s">
        <v>2526</v>
      </c>
      <c r="B131" s="67">
        <v>43144.431018518517</v>
      </c>
    </row>
    <row r="132" spans="1:2">
      <c r="A132" s="66" t="s">
        <v>2526</v>
      </c>
      <c r="B132" s="67">
        <v>43144.435277777775</v>
      </c>
    </row>
    <row r="133" spans="1:2">
      <c r="A133" s="66" t="s">
        <v>2526</v>
      </c>
      <c r="B133" s="67">
        <v>43144.437395833331</v>
      </c>
    </row>
    <row r="134" spans="1:2">
      <c r="A134" s="66" t="s">
        <v>2526</v>
      </c>
      <c r="B134" s="67">
        <v>43144.441979166666</v>
      </c>
    </row>
    <row r="135" spans="1:2">
      <c r="A135" s="66" t="s">
        <v>2526</v>
      </c>
      <c r="B135" s="67">
        <v>43144.443136574075</v>
      </c>
    </row>
    <row r="136" spans="1:2">
      <c r="A136" s="66" t="s">
        <v>2526</v>
      </c>
      <c r="B136" s="67">
        <v>43144.471064814818</v>
      </c>
    </row>
    <row r="137" spans="1:2">
      <c r="A137" s="66" t="s">
        <v>2526</v>
      </c>
      <c r="B137" s="67">
        <v>43144.475648148145</v>
      </c>
    </row>
    <row r="138" spans="1:2">
      <c r="A138" s="66" t="s">
        <v>2526</v>
      </c>
      <c r="B138" s="67">
        <v>43144.497002314813</v>
      </c>
    </row>
    <row r="139" spans="1:2">
      <c r="A139" s="66" t="s">
        <v>2526</v>
      </c>
      <c r="B139" s="67">
        <v>43144.507372685184</v>
      </c>
    </row>
    <row r="140" spans="1:2">
      <c r="A140" s="66" t="s">
        <v>2526</v>
      </c>
      <c r="B140" s="67">
        <v>43144.513865740744</v>
      </c>
    </row>
    <row r="141" spans="1:2">
      <c r="A141" s="66" t="s">
        <v>2526</v>
      </c>
      <c r="B141" s="67">
        <v>43144.514675925922</v>
      </c>
    </row>
    <row r="142" spans="1:2">
      <c r="A142" s="66" t="s">
        <v>2526</v>
      </c>
      <c r="B142" s="67">
        <v>43144.514953703707</v>
      </c>
    </row>
    <row r="143" spans="1:2">
      <c r="A143" s="66" t="s">
        <v>2526</v>
      </c>
      <c r="B143" s="67">
        <v>43144.515405092592</v>
      </c>
    </row>
    <row r="144" spans="1:2">
      <c r="A144" s="66" t="s">
        <v>2526</v>
      </c>
      <c r="B144" s="67">
        <v>43144.51630787037</v>
      </c>
    </row>
    <row r="145" spans="1:2">
      <c r="A145" s="66" t="s">
        <v>2526</v>
      </c>
      <c r="B145" s="67">
        <v>43144.518020833333</v>
      </c>
    </row>
    <row r="146" spans="1:2">
      <c r="A146" s="66" t="s">
        <v>2526</v>
      </c>
      <c r="B146" s="67">
        <v>43144.518472222226</v>
      </c>
    </row>
    <row r="147" spans="1:2">
      <c r="A147" s="66" t="s">
        <v>2526</v>
      </c>
      <c r="B147" s="67">
        <v>43144.518935185188</v>
      </c>
    </row>
    <row r="148" spans="1:2">
      <c r="A148" s="66" t="s">
        <v>2526</v>
      </c>
      <c r="B148" s="67">
        <v>43144.533773148149</v>
      </c>
    </row>
    <row r="149" spans="1:2">
      <c r="A149" s="66" t="s">
        <v>2526</v>
      </c>
      <c r="B149" s="67">
        <v>43144.541006944448</v>
      </c>
    </row>
    <row r="150" spans="1:2">
      <c r="A150" s="66" t="s">
        <v>2526</v>
      </c>
      <c r="B150" s="67">
        <v>43144.547361111108</v>
      </c>
    </row>
    <row r="151" spans="1:2">
      <c r="A151" s="66" t="s">
        <v>2526</v>
      </c>
      <c r="B151" s="67">
        <v>43145.410509259258</v>
      </c>
    </row>
    <row r="152" spans="1:2">
      <c r="A152" s="66" t="s">
        <v>2526</v>
      </c>
      <c r="B152" s="67">
        <v>43145.414201388892</v>
      </c>
    </row>
    <row r="153" spans="1:2">
      <c r="A153" s="66" t="s">
        <v>2526</v>
      </c>
      <c r="B153" s="67">
        <v>43145.414872685185</v>
      </c>
    </row>
    <row r="154" spans="1:2">
      <c r="A154" s="66" t="s">
        <v>2526</v>
      </c>
      <c r="B154" s="67">
        <v>43145.415844907409</v>
      </c>
    </row>
    <row r="155" spans="1:2">
      <c r="A155" s="66" t="s">
        <v>2526</v>
      </c>
      <c r="B155" s="67">
        <v>43145.418645833335</v>
      </c>
    </row>
    <row r="156" spans="1:2">
      <c r="A156" s="66" t="s">
        <v>2526</v>
      </c>
      <c r="B156" s="67">
        <v>43145.419236111113</v>
      </c>
    </row>
    <row r="157" spans="1:2">
      <c r="A157" s="66" t="s">
        <v>2526</v>
      </c>
      <c r="B157" s="67">
        <v>43145.423541666663</v>
      </c>
    </row>
    <row r="158" spans="1:2">
      <c r="A158" s="66" t="s">
        <v>2526</v>
      </c>
      <c r="B158" s="67">
        <v>43145.428900462961</v>
      </c>
    </row>
    <row r="159" spans="1:2">
      <c r="A159" s="66" t="s">
        <v>2526</v>
      </c>
      <c r="B159" s="67">
        <v>43145.430219907408</v>
      </c>
    </row>
    <row r="160" spans="1:2">
      <c r="A160" s="66" t="s">
        <v>2526</v>
      </c>
      <c r="B160" s="67">
        <v>43145.431203703702</v>
      </c>
    </row>
    <row r="161" spans="1:2">
      <c r="A161" s="66" t="s">
        <v>2526</v>
      </c>
      <c r="B161" s="67">
        <v>43145.432164351849</v>
      </c>
    </row>
    <row r="162" spans="1:2">
      <c r="A162" s="66" t="s">
        <v>2526</v>
      </c>
      <c r="B162" s="67">
        <v>43145.432384259257</v>
      </c>
    </row>
    <row r="163" spans="1:2">
      <c r="A163" s="66" t="s">
        <v>2526</v>
      </c>
      <c r="B163" s="67">
        <v>43145.436238425929</v>
      </c>
    </row>
    <row r="164" spans="1:2">
      <c r="A164" s="66" t="s">
        <v>2526</v>
      </c>
      <c r="B164" s="67">
        <v>43145.439409722225</v>
      </c>
    </row>
    <row r="165" spans="1:2">
      <c r="A165" s="66" t="s">
        <v>2526</v>
      </c>
      <c r="B165" s="67">
        <v>43145.439826388887</v>
      </c>
    </row>
    <row r="166" spans="1:2">
      <c r="A166" s="66" t="s">
        <v>2526</v>
      </c>
      <c r="B166" s="67">
        <v>43145.44059027778</v>
      </c>
    </row>
    <row r="167" spans="1:2">
      <c r="A167" s="66" t="s">
        <v>2526</v>
      </c>
      <c r="B167" s="67">
        <v>43145.440682870372</v>
      </c>
    </row>
    <row r="168" spans="1:2">
      <c r="A168" s="66" t="s">
        <v>2526</v>
      </c>
      <c r="B168" s="67">
        <v>43145.447141203702</v>
      </c>
    </row>
    <row r="169" spans="1:2">
      <c r="A169" s="66" t="s">
        <v>2526</v>
      </c>
      <c r="B169" s="67">
        <v>43145.447893518518</v>
      </c>
    </row>
    <row r="170" spans="1:2">
      <c r="A170" s="66" t="s">
        <v>2526</v>
      </c>
      <c r="B170" s="67">
        <v>43145.450659722221</v>
      </c>
    </row>
    <row r="171" spans="1:2">
      <c r="A171" s="66" t="s">
        <v>2526</v>
      </c>
      <c r="B171" s="67">
        <v>43145.458437499998</v>
      </c>
    </row>
    <row r="172" spans="1:2">
      <c r="A172" s="66" t="s">
        <v>2526</v>
      </c>
      <c r="B172" s="67">
        <v>43145.460648148146</v>
      </c>
    </row>
    <row r="173" spans="1:2">
      <c r="A173" s="66" t="s">
        <v>2526</v>
      </c>
      <c r="B173" s="67">
        <v>43145.470081018517</v>
      </c>
    </row>
    <row r="174" spans="1:2">
      <c r="A174" s="66" t="s">
        <v>2526</v>
      </c>
      <c r="B174" s="67">
        <v>43145.471122685187</v>
      </c>
    </row>
    <row r="175" spans="1:2">
      <c r="A175" s="66" t="s">
        <v>2526</v>
      </c>
      <c r="B175" s="67">
        <v>43145.472824074073</v>
      </c>
    </row>
    <row r="176" spans="1:2">
      <c r="A176" s="66" t="s">
        <v>2526</v>
      </c>
      <c r="B176" s="67">
        <v>43145.473356481481</v>
      </c>
    </row>
    <row r="177" spans="1:2">
      <c r="A177" s="66" t="s">
        <v>2526</v>
      </c>
      <c r="B177" s="67">
        <v>43145.474618055552</v>
      </c>
    </row>
    <row r="178" spans="1:2">
      <c r="A178" s="66" t="s">
        <v>2526</v>
      </c>
      <c r="B178" s="67">
        <v>43145.475046296298</v>
      </c>
    </row>
    <row r="179" spans="1:2">
      <c r="A179" s="66" t="s">
        <v>2526</v>
      </c>
      <c r="B179" s="67">
        <v>43145.478564814817</v>
      </c>
    </row>
    <row r="180" spans="1:2">
      <c r="A180" s="66" t="s">
        <v>2526</v>
      </c>
      <c r="B180" s="67">
        <v>43145.483518518522</v>
      </c>
    </row>
    <row r="181" spans="1:2">
      <c r="A181" s="66" t="s">
        <v>2526</v>
      </c>
      <c r="B181" s="67">
        <v>43145.483680555553</v>
      </c>
    </row>
    <row r="182" spans="1:2">
      <c r="A182" s="66" t="s">
        <v>2526</v>
      </c>
      <c r="B182" s="67">
        <v>43145.485451388886</v>
      </c>
    </row>
    <row r="183" spans="1:2">
      <c r="A183" s="66" t="s">
        <v>2526</v>
      </c>
      <c r="B183" s="67">
        <v>43145.486180555556</v>
      </c>
    </row>
    <row r="184" spans="1:2">
      <c r="A184" s="66" t="s">
        <v>2526</v>
      </c>
      <c r="B184" s="67">
        <v>43145.490023148152</v>
      </c>
    </row>
    <row r="185" spans="1:2">
      <c r="A185" s="66" t="s">
        <v>2526</v>
      </c>
      <c r="B185" s="67">
        <v>43145.491701388892</v>
      </c>
    </row>
    <row r="186" spans="1:2">
      <c r="A186" s="66" t="s">
        <v>2526</v>
      </c>
      <c r="B186" s="67">
        <v>43145.492002314815</v>
      </c>
    </row>
    <row r="187" spans="1:2">
      <c r="A187" s="66" t="s">
        <v>2526</v>
      </c>
      <c r="B187" s="67">
        <v>43145.492534722223</v>
      </c>
    </row>
    <row r="188" spans="1:2">
      <c r="A188" s="66" t="s">
        <v>2526</v>
      </c>
      <c r="B188" s="67">
        <v>43145.492800925924</v>
      </c>
    </row>
    <row r="189" spans="1:2">
      <c r="A189" s="66" t="s">
        <v>2526</v>
      </c>
      <c r="B189" s="67">
        <v>43145.493298611109</v>
      </c>
    </row>
    <row r="190" spans="1:2">
      <c r="A190" s="66" t="s">
        <v>2526</v>
      </c>
      <c r="B190" s="67">
        <v>43145.498055555552</v>
      </c>
    </row>
    <row r="191" spans="1:2">
      <c r="A191" s="66" t="s">
        <v>2526</v>
      </c>
      <c r="B191" s="67">
        <v>43145.50582175926</v>
      </c>
    </row>
    <row r="192" spans="1:2">
      <c r="A192" s="66" t="s">
        <v>2526</v>
      </c>
      <c r="B192" s="67">
        <v>43145.512523148151</v>
      </c>
    </row>
    <row r="193" spans="1:2">
      <c r="A193" s="66" t="s">
        <v>2526</v>
      </c>
      <c r="B193" s="67">
        <v>43145.512569444443</v>
      </c>
    </row>
    <row r="194" spans="1:2">
      <c r="A194" s="66" t="s">
        <v>2526</v>
      </c>
      <c r="B194" s="67">
        <v>43145.517974537041</v>
      </c>
    </row>
    <row r="195" spans="1:2">
      <c r="A195" s="66" t="s">
        <v>2526</v>
      </c>
      <c r="B195" s="67">
        <v>43145.518831018519</v>
      </c>
    </row>
    <row r="196" spans="1:2">
      <c r="A196" s="66" t="s">
        <v>2526</v>
      </c>
      <c r="B196" s="67">
        <v>43145.520208333335</v>
      </c>
    </row>
    <row r="197" spans="1:2">
      <c r="A197" s="66" t="s">
        <v>2526</v>
      </c>
      <c r="B197" s="67">
        <v>43145.52034722222</v>
      </c>
    </row>
    <row r="198" spans="1:2">
      <c r="A198" s="66" t="s">
        <v>2526</v>
      </c>
      <c r="B198" s="67">
        <v>43145.520601851851</v>
      </c>
    </row>
    <row r="199" spans="1:2">
      <c r="A199" s="66" t="s">
        <v>2526</v>
      </c>
      <c r="B199" s="67">
        <v>43145.521018518521</v>
      </c>
    </row>
    <row r="200" spans="1:2">
      <c r="A200" s="66" t="s">
        <v>2526</v>
      </c>
      <c r="B200" s="67">
        <v>43145.521053240744</v>
      </c>
    </row>
    <row r="201" spans="1:2">
      <c r="A201" s="66" t="s">
        <v>2526</v>
      </c>
      <c r="B201" s="67">
        <v>43145.527048611111</v>
      </c>
    </row>
    <row r="202" spans="1:2">
      <c r="A202" s="66" t="s">
        <v>2526</v>
      </c>
      <c r="B202" s="67">
        <v>43145.527175925927</v>
      </c>
    </row>
    <row r="203" spans="1:2">
      <c r="A203" s="66" t="s">
        <v>2526</v>
      </c>
      <c r="B203" s="67">
        <v>43145.527199074073</v>
      </c>
    </row>
    <row r="204" spans="1:2">
      <c r="A204" s="66" t="s">
        <v>2526</v>
      </c>
      <c r="B204" s="67">
        <v>43145.529178240744</v>
      </c>
    </row>
    <row r="205" spans="1:2">
      <c r="A205" s="66" t="s">
        <v>2526</v>
      </c>
      <c r="B205" s="67">
        <v>43145.529502314814</v>
      </c>
    </row>
    <row r="206" spans="1:2">
      <c r="A206" s="66" t="s">
        <v>2526</v>
      </c>
      <c r="B206" s="67">
        <v>43145.533356481479</v>
      </c>
    </row>
    <row r="207" spans="1:2">
      <c r="A207" s="66" t="s">
        <v>2526</v>
      </c>
      <c r="B207" s="67">
        <v>43145.533703703702</v>
      </c>
    </row>
    <row r="208" spans="1:2">
      <c r="A208" s="66" t="s">
        <v>2526</v>
      </c>
      <c r="B208" s="67">
        <v>43145.544074074074</v>
      </c>
    </row>
    <row r="209" spans="1:2">
      <c r="A209" s="66" t="s">
        <v>2526</v>
      </c>
      <c r="B209" s="67">
        <v>43145.572789351849</v>
      </c>
    </row>
    <row r="210" spans="1:2">
      <c r="A210" s="66" t="s">
        <v>2526</v>
      </c>
      <c r="B210" s="67">
        <v>43145.587476851855</v>
      </c>
    </row>
    <row r="211" spans="1:2">
      <c r="A211" s="66" t="s">
        <v>2526</v>
      </c>
      <c r="B211" s="67">
        <v>43145.587569444448</v>
      </c>
    </row>
    <row r="212" spans="1:2">
      <c r="A212" s="66" t="s">
        <v>2526</v>
      </c>
      <c r="B212" s="67">
        <v>43145.589317129627</v>
      </c>
    </row>
    <row r="213" spans="1:2">
      <c r="A213" s="66" t="s">
        <v>2526</v>
      </c>
      <c r="B213" s="67">
        <v>43145.589618055557</v>
      </c>
    </row>
    <row r="214" spans="1:2">
      <c r="A214" s="66" t="s">
        <v>2526</v>
      </c>
      <c r="B214" s="67">
        <v>43145.589872685188</v>
      </c>
    </row>
    <row r="215" spans="1:2">
      <c r="A215" s="66" t="s">
        <v>2526</v>
      </c>
      <c r="B215" s="67">
        <v>43145.590497685182</v>
      </c>
    </row>
    <row r="216" spans="1:2">
      <c r="A216" s="66" t="s">
        <v>2526</v>
      </c>
      <c r="B216" s="67">
        <v>43145.59851851852</v>
      </c>
    </row>
    <row r="217" spans="1:2">
      <c r="A217" s="66" t="s">
        <v>2526</v>
      </c>
      <c r="B217" s="67">
        <v>43145.602523148147</v>
      </c>
    </row>
    <row r="218" spans="1:2">
      <c r="A218" s="66" t="s">
        <v>2526</v>
      </c>
      <c r="B218" s="67">
        <v>43145.602534722224</v>
      </c>
    </row>
    <row r="219" spans="1:2">
      <c r="A219" s="66" t="s">
        <v>2526</v>
      </c>
      <c r="B219" s="67">
        <v>43145.602546296293</v>
      </c>
    </row>
    <row r="220" spans="1:2">
      <c r="A220" s="66" t="s">
        <v>2526</v>
      </c>
      <c r="B220" s="67">
        <v>43145.602685185186</v>
      </c>
    </row>
    <row r="221" spans="1:2">
      <c r="A221" s="66" t="s">
        <v>2526</v>
      </c>
      <c r="B221" s="67">
        <v>43145.602858796294</v>
      </c>
    </row>
    <row r="222" spans="1:2">
      <c r="A222" s="66" t="s">
        <v>2526</v>
      </c>
      <c r="B222" s="67">
        <v>43145.606226851851</v>
      </c>
    </row>
    <row r="223" spans="1:2">
      <c r="A223" s="66" t="s">
        <v>2526</v>
      </c>
      <c r="B223" s="67">
        <v>43145.607349537036</v>
      </c>
    </row>
    <row r="224" spans="1:2">
      <c r="A224" s="66" t="s">
        <v>2526</v>
      </c>
      <c r="B224" s="67">
        <v>43145.607407407406</v>
      </c>
    </row>
    <row r="225" spans="1:2">
      <c r="A225" s="66" t="s">
        <v>2526</v>
      </c>
      <c r="B225" s="67">
        <v>43145.608749999999</v>
      </c>
    </row>
    <row r="226" spans="1:2">
      <c r="A226" s="66" t="s">
        <v>2526</v>
      </c>
      <c r="B226" s="67">
        <v>43145.608981481484</v>
      </c>
    </row>
    <row r="227" spans="1:2">
      <c r="A227" s="66" t="s">
        <v>2526</v>
      </c>
      <c r="B227" s="67">
        <v>43145.609537037039</v>
      </c>
    </row>
    <row r="228" spans="1:2">
      <c r="A228" s="66" t="s">
        <v>2526</v>
      </c>
      <c r="B228" s="67">
        <v>43145.610208333332</v>
      </c>
    </row>
    <row r="229" spans="1:2">
      <c r="A229" s="66" t="s">
        <v>2526</v>
      </c>
      <c r="B229" s="67">
        <v>43145.611377314817</v>
      </c>
    </row>
    <row r="230" spans="1:2">
      <c r="A230" s="66" t="s">
        <v>2526</v>
      </c>
      <c r="B230" s="67">
        <v>43145.613796296297</v>
      </c>
    </row>
    <row r="231" spans="1:2">
      <c r="A231" s="66" t="s">
        <v>2526</v>
      </c>
      <c r="B231" s="67">
        <v>43145.613865740743</v>
      </c>
    </row>
    <row r="232" spans="1:2">
      <c r="A232" s="66" t="s">
        <v>2526</v>
      </c>
      <c r="B232" s="67">
        <v>43145.614525462966</v>
      </c>
    </row>
    <row r="233" spans="1:2">
      <c r="A233" s="66" t="s">
        <v>2526</v>
      </c>
      <c r="B233" s="67">
        <v>43145.615243055552</v>
      </c>
    </row>
    <row r="234" spans="1:2">
      <c r="A234" s="66" t="s">
        <v>2526</v>
      </c>
      <c r="B234" s="67">
        <v>43145.648206018515</v>
      </c>
    </row>
    <row r="235" spans="1:2">
      <c r="A235" s="66" t="s">
        <v>2526</v>
      </c>
      <c r="B235" s="67">
        <v>43146.337245370371</v>
      </c>
    </row>
    <row r="236" spans="1:2">
      <c r="A236" s="66" t="s">
        <v>2526</v>
      </c>
      <c r="B236" s="67">
        <v>43146.35837962963</v>
      </c>
    </row>
    <row r="237" spans="1:2">
      <c r="A237" s="66" t="s">
        <v>2526</v>
      </c>
      <c r="B237" s="67">
        <v>43146.366944444446</v>
      </c>
    </row>
    <row r="238" spans="1:2">
      <c r="A238" s="66" t="s">
        <v>2526</v>
      </c>
      <c r="B238" s="67">
        <v>43146.379780092589</v>
      </c>
    </row>
    <row r="239" spans="1:2">
      <c r="A239" s="66" t="s">
        <v>2526</v>
      </c>
      <c r="B239" s="67">
        <v>43146.382280092592</v>
      </c>
    </row>
    <row r="240" spans="1:2">
      <c r="A240" s="66" t="s">
        <v>2526</v>
      </c>
      <c r="B240" s="67">
        <v>43146.389675925922</v>
      </c>
    </row>
    <row r="241" spans="1:2">
      <c r="A241" s="66" t="s">
        <v>2526</v>
      </c>
      <c r="B241" s="67">
        <v>43146.391712962963</v>
      </c>
    </row>
    <row r="242" spans="1:2">
      <c r="A242" s="66" t="s">
        <v>2526</v>
      </c>
      <c r="B242" s="67">
        <v>43146.394212962965</v>
      </c>
    </row>
    <row r="243" spans="1:2">
      <c r="A243" s="66" t="s">
        <v>2526</v>
      </c>
      <c r="B243" s="67">
        <v>43146.395381944443</v>
      </c>
    </row>
    <row r="244" spans="1:2">
      <c r="A244" s="66" t="s">
        <v>2526</v>
      </c>
      <c r="B244" s="67">
        <v>43146.39565972222</v>
      </c>
    </row>
    <row r="245" spans="1:2">
      <c r="A245" s="66" t="s">
        <v>2526</v>
      </c>
      <c r="B245" s="67">
        <v>43146.39607638889</v>
      </c>
    </row>
    <row r="246" spans="1:2">
      <c r="A246" s="66" t="s">
        <v>2526</v>
      </c>
      <c r="B246" s="67">
        <v>43146.400625000002</v>
      </c>
    </row>
    <row r="247" spans="1:2">
      <c r="A247" s="66" t="s">
        <v>2526</v>
      </c>
      <c r="B247" s="67">
        <v>43146.40693287037</v>
      </c>
    </row>
    <row r="248" spans="1:2">
      <c r="A248" s="66" t="s">
        <v>2526</v>
      </c>
      <c r="B248" s="67">
        <v>43146.410081018519</v>
      </c>
    </row>
    <row r="249" spans="1:2">
      <c r="A249" s="66" t="s">
        <v>2526</v>
      </c>
      <c r="B249" s="67">
        <v>43146.416319444441</v>
      </c>
    </row>
    <row r="250" spans="1:2">
      <c r="A250" s="66" t="s">
        <v>2526</v>
      </c>
      <c r="B250" s="67">
        <v>43146.417754629627</v>
      </c>
    </row>
    <row r="251" spans="1:2">
      <c r="A251" s="66" t="s">
        <v>2526</v>
      </c>
      <c r="B251" s="67">
        <v>43146.418981481482</v>
      </c>
    </row>
    <row r="252" spans="1:2">
      <c r="A252" s="66" t="s">
        <v>2526</v>
      </c>
      <c r="B252" s="67">
        <v>43146.419687499998</v>
      </c>
    </row>
    <row r="253" spans="1:2">
      <c r="A253" s="66" t="s">
        <v>2526</v>
      </c>
      <c r="B253" s="67">
        <v>43146.421701388892</v>
      </c>
    </row>
    <row r="254" spans="1:2">
      <c r="A254" s="66" t="s">
        <v>2526</v>
      </c>
      <c r="B254" s="67">
        <v>43146.421770833331</v>
      </c>
    </row>
    <row r="255" spans="1:2">
      <c r="A255" s="66" t="s">
        <v>2526</v>
      </c>
      <c r="B255" s="67">
        <v>43146.427685185183</v>
      </c>
    </row>
    <row r="256" spans="1:2">
      <c r="A256" s="66" t="s">
        <v>2526</v>
      </c>
      <c r="B256" s="67">
        <v>43146.432673611111</v>
      </c>
    </row>
    <row r="257" spans="1:2">
      <c r="A257" s="66" t="s">
        <v>2526</v>
      </c>
      <c r="B257" s="67">
        <v>43146.437627314815</v>
      </c>
    </row>
    <row r="258" spans="1:2">
      <c r="A258" s="66" t="s">
        <v>2526</v>
      </c>
      <c r="B258" s="67">
        <v>43146.444363425922</v>
      </c>
    </row>
    <row r="259" spans="1:2">
      <c r="A259" s="66" t="s">
        <v>2526</v>
      </c>
      <c r="B259" s="67">
        <v>43146.448831018519</v>
      </c>
    </row>
    <row r="260" spans="1:2">
      <c r="A260" s="66" t="s">
        <v>2526</v>
      </c>
      <c r="B260" s="67">
        <v>43146.448981481481</v>
      </c>
    </row>
    <row r="261" spans="1:2">
      <c r="A261" s="66" t="s">
        <v>2526</v>
      </c>
      <c r="B261" s="67">
        <v>43146.449166666665</v>
      </c>
    </row>
    <row r="262" spans="1:2">
      <c r="A262" s="66" t="s">
        <v>2526</v>
      </c>
      <c r="B262" s="67">
        <v>43146.450613425928</v>
      </c>
    </row>
    <row r="263" spans="1:2">
      <c r="A263" s="66" t="s">
        <v>2526</v>
      </c>
      <c r="B263" s="67">
        <v>43146.450682870367</v>
      </c>
    </row>
    <row r="264" spans="1:2">
      <c r="A264" s="66" t="s">
        <v>2526</v>
      </c>
      <c r="B264" s="67">
        <v>43146.450798611113</v>
      </c>
    </row>
    <row r="265" spans="1:2">
      <c r="A265" s="66" t="s">
        <v>2526</v>
      </c>
      <c r="B265" s="67">
        <v>43146.450949074075</v>
      </c>
    </row>
    <row r="266" spans="1:2">
      <c r="A266" s="66" t="s">
        <v>2526</v>
      </c>
      <c r="B266" s="67">
        <v>43146.451215277775</v>
      </c>
    </row>
    <row r="267" spans="1:2">
      <c r="A267" s="66" t="s">
        <v>2526</v>
      </c>
      <c r="B267" s="67">
        <v>43146.451273148145</v>
      </c>
    </row>
    <row r="268" spans="1:2">
      <c r="A268" s="66" t="s">
        <v>2526</v>
      </c>
      <c r="B268" s="67">
        <v>43146.451527777775</v>
      </c>
    </row>
    <row r="269" spans="1:2">
      <c r="A269" s="66" t="s">
        <v>2526</v>
      </c>
      <c r="B269" s="67">
        <v>43146.451597222222</v>
      </c>
    </row>
    <row r="270" spans="1:2">
      <c r="A270" s="66" t="s">
        <v>2526</v>
      </c>
      <c r="B270" s="67">
        <v>43146.45171296296</v>
      </c>
    </row>
    <row r="271" spans="1:2">
      <c r="A271" s="66" t="s">
        <v>2526</v>
      </c>
      <c r="B271" s="67">
        <v>43146.451840277776</v>
      </c>
    </row>
    <row r="272" spans="1:2">
      <c r="A272" s="66" t="s">
        <v>2526</v>
      </c>
      <c r="B272" s="67">
        <v>43146.452615740738</v>
      </c>
    </row>
    <row r="273" spans="1:2">
      <c r="A273" s="66" t="s">
        <v>2526</v>
      </c>
      <c r="B273" s="67">
        <v>43146.452696759261</v>
      </c>
    </row>
    <row r="274" spans="1:2">
      <c r="A274" s="66" t="s">
        <v>2526</v>
      </c>
      <c r="B274" s="67">
        <v>43146.453518518516</v>
      </c>
    </row>
    <row r="275" spans="1:2">
      <c r="A275" s="66" t="s">
        <v>2526</v>
      </c>
      <c r="B275" s="67">
        <v>43146.456643518519</v>
      </c>
    </row>
    <row r="276" spans="1:2">
      <c r="A276" s="66" t="s">
        <v>2526</v>
      </c>
      <c r="B276" s="67">
        <v>43146.457245370373</v>
      </c>
    </row>
    <row r="277" spans="1:2">
      <c r="A277" s="66" t="s">
        <v>2526</v>
      </c>
      <c r="B277" s="67">
        <v>43146.457986111112</v>
      </c>
    </row>
    <row r="278" spans="1:2">
      <c r="A278" s="66" t="s">
        <v>2526</v>
      </c>
      <c r="B278" s="67">
        <v>43146.468263888892</v>
      </c>
    </row>
    <row r="279" spans="1:2">
      <c r="A279" s="66" t="s">
        <v>2526</v>
      </c>
      <c r="B279" s="67">
        <v>43146.490694444445</v>
      </c>
    </row>
    <row r="280" spans="1:2">
      <c r="A280" s="66" t="s">
        <v>2526</v>
      </c>
      <c r="B280" s="67">
        <v>43146.490729166668</v>
      </c>
    </row>
    <row r="281" spans="1:2">
      <c r="A281" s="66" t="s">
        <v>2526</v>
      </c>
      <c r="B281" s="67">
        <v>43146.495625000003</v>
      </c>
    </row>
    <row r="282" spans="1:2">
      <c r="A282" s="66" t="s">
        <v>2526</v>
      </c>
      <c r="B282" s="67">
        <v>43146.497534722221</v>
      </c>
    </row>
    <row r="283" spans="1:2">
      <c r="A283" s="66" t="s">
        <v>2526</v>
      </c>
      <c r="B283" s="67">
        <v>43146.514398148145</v>
      </c>
    </row>
    <row r="284" spans="1:2">
      <c r="A284" s="66" t="s">
        <v>2526</v>
      </c>
      <c r="B284" s="67">
        <v>43146.514594907407</v>
      </c>
    </row>
    <row r="285" spans="1:2">
      <c r="A285" s="66" t="s">
        <v>2526</v>
      </c>
      <c r="B285" s="67">
        <v>43146.516759259262</v>
      </c>
    </row>
    <row r="286" spans="1:2">
      <c r="A286" s="66" t="s">
        <v>2526</v>
      </c>
      <c r="B286" s="67">
        <v>43146.516805555555</v>
      </c>
    </row>
    <row r="287" spans="1:2">
      <c r="A287" s="66" t="s">
        <v>2526</v>
      </c>
      <c r="B287" s="67">
        <v>43146.516851851855</v>
      </c>
    </row>
    <row r="288" spans="1:2">
      <c r="A288" s="66" t="s">
        <v>2526</v>
      </c>
      <c r="B288" s="67">
        <v>43146.517523148148</v>
      </c>
    </row>
    <row r="289" spans="1:2">
      <c r="A289" s="66" t="s">
        <v>2526</v>
      </c>
      <c r="B289" s="67">
        <v>43146.518101851849</v>
      </c>
    </row>
    <row r="290" spans="1:2">
      <c r="A290" s="66" t="s">
        <v>2526</v>
      </c>
      <c r="B290" s="67">
        <v>43146.518506944441</v>
      </c>
    </row>
    <row r="291" spans="1:2">
      <c r="A291" s="66" t="s">
        <v>2526</v>
      </c>
      <c r="B291" s="67">
        <v>43146.519560185188</v>
      </c>
    </row>
    <row r="292" spans="1:2">
      <c r="A292" s="66" t="s">
        <v>2526</v>
      </c>
      <c r="B292" s="67">
        <v>43146.519687499997</v>
      </c>
    </row>
    <row r="293" spans="1:2">
      <c r="A293" s="66" t="s">
        <v>2526</v>
      </c>
      <c r="B293" s="67">
        <v>43146.520428240743</v>
      </c>
    </row>
    <row r="294" spans="1:2">
      <c r="A294" s="66" t="s">
        <v>2526</v>
      </c>
      <c r="B294" s="67">
        <v>43146.544942129629</v>
      </c>
    </row>
    <row r="295" spans="1:2">
      <c r="A295" s="66" t="s">
        <v>2526</v>
      </c>
      <c r="B295" s="67">
        <v>43146.545011574075</v>
      </c>
    </row>
    <row r="296" spans="1:2">
      <c r="A296" s="66" t="s">
        <v>2526</v>
      </c>
      <c r="B296" s="67">
        <v>43146.546851851854</v>
      </c>
    </row>
    <row r="297" spans="1:2">
      <c r="A297" s="66" t="s">
        <v>2526</v>
      </c>
      <c r="B297" s="67">
        <v>43146.57640046296</v>
      </c>
    </row>
    <row r="298" spans="1:2">
      <c r="A298" s="66" t="s">
        <v>2526</v>
      </c>
      <c r="B298" s="67">
        <v>43146.599166666667</v>
      </c>
    </row>
    <row r="299" spans="1:2">
      <c r="A299" s="66" t="s">
        <v>2526</v>
      </c>
      <c r="B299" s="67">
        <v>43146.59920138889</v>
      </c>
    </row>
    <row r="300" spans="1:2">
      <c r="A300" s="66" t="s">
        <v>2526</v>
      </c>
      <c r="B300" s="67">
        <v>43146.61378472222</v>
      </c>
    </row>
    <row r="301" spans="1:2">
      <c r="A301" s="66" t="s">
        <v>2526</v>
      </c>
      <c r="B301" s="67">
        <v>43146.614571759259</v>
      </c>
    </row>
    <row r="302" spans="1:2">
      <c r="A302" s="66" t="s">
        <v>2526</v>
      </c>
      <c r="B302" s="67">
        <v>43146.617650462962</v>
      </c>
    </row>
    <row r="303" spans="1:2">
      <c r="A303" s="66" t="s">
        <v>2526</v>
      </c>
      <c r="B303" s="67">
        <v>43146.620671296296</v>
      </c>
    </row>
    <row r="304" spans="1:2">
      <c r="A304" s="66" t="s">
        <v>2526</v>
      </c>
      <c r="B304" s="67">
        <v>43146.621631944443</v>
      </c>
    </row>
    <row r="305" spans="1:2">
      <c r="A305" s="66" t="s">
        <v>2526</v>
      </c>
      <c r="B305" s="67">
        <v>43146.636863425927</v>
      </c>
    </row>
    <row r="306" spans="1:2">
      <c r="A306" s="66" t="s">
        <v>2526</v>
      </c>
      <c r="B306" s="67">
        <v>43146.637291666666</v>
      </c>
    </row>
    <row r="307" spans="1:2">
      <c r="A307" s="66" t="s">
        <v>2526</v>
      </c>
      <c r="B307" s="67">
        <v>43146.640636574077</v>
      </c>
    </row>
    <row r="308" spans="1:2">
      <c r="A308" s="66" t="s">
        <v>2526</v>
      </c>
      <c r="B308" s="67">
        <v>43147.34847222222</v>
      </c>
    </row>
    <row r="309" spans="1:2">
      <c r="A309" s="66" t="s">
        <v>2526</v>
      </c>
      <c r="B309" s="67">
        <v>43147.352083333331</v>
      </c>
    </row>
    <row r="310" spans="1:2">
      <c r="A310" s="66" t="s">
        <v>2526</v>
      </c>
      <c r="B310" s="67">
        <v>43147.353263888886</v>
      </c>
    </row>
    <row r="311" spans="1:2">
      <c r="A311" s="66" t="s">
        <v>2526</v>
      </c>
      <c r="B311" s="67">
        <v>43147.355902777781</v>
      </c>
    </row>
    <row r="312" spans="1:2">
      <c r="A312" s="66" t="s">
        <v>2526</v>
      </c>
      <c r="B312" s="67">
        <v>43147.358113425929</v>
      </c>
    </row>
    <row r="313" spans="1:2">
      <c r="A313" s="66" t="s">
        <v>2526</v>
      </c>
      <c r="B313" s="67">
        <v>43147.358460648145</v>
      </c>
    </row>
    <row r="314" spans="1:2">
      <c r="A314" s="66" t="s">
        <v>2526</v>
      </c>
      <c r="B314" s="67">
        <v>43147.358657407407</v>
      </c>
    </row>
    <row r="315" spans="1:2">
      <c r="A315" s="66" t="s">
        <v>2526</v>
      </c>
      <c r="B315" s="67">
        <v>43147.358738425923</v>
      </c>
    </row>
    <row r="316" spans="1:2">
      <c r="A316" s="66" t="s">
        <v>2526</v>
      </c>
      <c r="B316" s="67">
        <v>43147.373449074075</v>
      </c>
    </row>
    <row r="317" spans="1:2">
      <c r="A317" s="66" t="s">
        <v>2526</v>
      </c>
      <c r="B317" s="67">
        <v>43147.373680555553</v>
      </c>
    </row>
    <row r="318" spans="1:2">
      <c r="A318" s="66" t="s">
        <v>2526</v>
      </c>
      <c r="B318" s="67">
        <v>43147.375717592593</v>
      </c>
    </row>
    <row r="319" spans="1:2">
      <c r="A319" s="66" t="s">
        <v>2526</v>
      </c>
      <c r="B319" s="67">
        <v>43147.375902777778</v>
      </c>
    </row>
    <row r="320" spans="1:2">
      <c r="A320" s="66" t="s">
        <v>2526</v>
      </c>
      <c r="B320" s="67">
        <v>43147.376388888886</v>
      </c>
    </row>
    <row r="321" spans="1:2">
      <c r="A321" s="66" t="s">
        <v>2526</v>
      </c>
      <c r="B321" s="67">
        <v>43147.376539351855</v>
      </c>
    </row>
    <row r="322" spans="1:2">
      <c r="A322" s="66" t="s">
        <v>2526</v>
      </c>
      <c r="B322" s="67">
        <v>43147.379710648151</v>
      </c>
    </row>
    <row r="323" spans="1:2">
      <c r="A323" s="66" t="s">
        <v>2526</v>
      </c>
      <c r="B323" s="67">
        <v>43147.381504629629</v>
      </c>
    </row>
    <row r="324" spans="1:2">
      <c r="A324" s="66" t="s">
        <v>2526</v>
      </c>
      <c r="B324" s="67">
        <v>43147.388854166667</v>
      </c>
    </row>
    <row r="325" spans="1:2">
      <c r="A325" s="66" t="s">
        <v>2526</v>
      </c>
      <c r="B325" s="67">
        <v>43147.389189814814</v>
      </c>
    </row>
    <row r="326" spans="1:2">
      <c r="A326" s="66" t="s">
        <v>2526</v>
      </c>
      <c r="B326" s="67">
        <v>43147.389317129629</v>
      </c>
    </row>
    <row r="327" spans="1:2">
      <c r="A327" s="66" t="s">
        <v>2526</v>
      </c>
      <c r="B327" s="67">
        <v>43147.389432870368</v>
      </c>
    </row>
    <row r="328" spans="1:2">
      <c r="A328" s="66" t="s">
        <v>2526</v>
      </c>
      <c r="B328" s="67">
        <v>43147.389594907407</v>
      </c>
    </row>
    <row r="329" spans="1:2">
      <c r="A329" s="66" t="s">
        <v>2526</v>
      </c>
      <c r="B329" s="67">
        <v>43147.389768518522</v>
      </c>
    </row>
    <row r="330" spans="1:2">
      <c r="A330" s="66" t="s">
        <v>2526</v>
      </c>
      <c r="B330" s="67">
        <v>43147.389861111114</v>
      </c>
    </row>
    <row r="331" spans="1:2">
      <c r="A331" s="66" t="s">
        <v>2526</v>
      </c>
      <c r="B331" s="67">
        <v>43147.389988425923</v>
      </c>
    </row>
    <row r="332" spans="1:2">
      <c r="A332" s="66" t="s">
        <v>2526</v>
      </c>
      <c r="B332" s="67">
        <v>43147.39135416667</v>
      </c>
    </row>
    <row r="333" spans="1:2">
      <c r="A333" s="66" t="s">
        <v>2526</v>
      </c>
      <c r="B333" s="67">
        <v>43147.391469907408</v>
      </c>
    </row>
    <row r="334" spans="1:2">
      <c r="A334" s="66" t="s">
        <v>2526</v>
      </c>
      <c r="B334" s="67">
        <v>43147.391597222224</v>
      </c>
    </row>
    <row r="335" spans="1:2">
      <c r="A335" s="66" t="s">
        <v>2526</v>
      </c>
      <c r="B335" s="67">
        <v>43147.391689814816</v>
      </c>
    </row>
    <row r="336" spans="1:2">
      <c r="A336" s="66" t="s">
        <v>2526</v>
      </c>
      <c r="B336" s="67">
        <v>43147.392013888886</v>
      </c>
    </row>
    <row r="337" spans="1:2">
      <c r="A337" s="66" t="s">
        <v>2526</v>
      </c>
      <c r="B337" s="67">
        <v>43147.392638888887</v>
      </c>
    </row>
    <row r="338" spans="1:2">
      <c r="A338" s="66" t="s">
        <v>2526</v>
      </c>
      <c r="B338" s="67">
        <v>43147.392777777779</v>
      </c>
    </row>
    <row r="339" spans="1:2">
      <c r="A339" s="66" t="s">
        <v>2526</v>
      </c>
      <c r="B339" s="67">
        <v>43147.394293981481</v>
      </c>
    </row>
    <row r="340" spans="1:2">
      <c r="A340" s="66" t="s">
        <v>2526</v>
      </c>
      <c r="B340" s="67">
        <v>43147.395127314812</v>
      </c>
    </row>
    <row r="341" spans="1:2">
      <c r="A341" s="66" t="s">
        <v>2526</v>
      </c>
      <c r="B341" s="67">
        <v>43147.396006944444</v>
      </c>
    </row>
    <row r="342" spans="1:2">
      <c r="A342" s="66" t="s">
        <v>2526</v>
      </c>
      <c r="B342" s="67">
        <v>43147.396099537036</v>
      </c>
    </row>
    <row r="343" spans="1:2">
      <c r="A343" s="66" t="s">
        <v>2526</v>
      </c>
      <c r="B343" s="67">
        <v>43147.396180555559</v>
      </c>
    </row>
    <row r="344" spans="1:2">
      <c r="A344" s="66" t="s">
        <v>2526</v>
      </c>
      <c r="B344" s="67">
        <v>43147.397847222222</v>
      </c>
    </row>
    <row r="345" spans="1:2">
      <c r="A345" s="66" t="s">
        <v>2526</v>
      </c>
      <c r="B345" s="67">
        <v>43147.399398148147</v>
      </c>
    </row>
    <row r="346" spans="1:2">
      <c r="A346" s="66" t="s">
        <v>2526</v>
      </c>
      <c r="B346" s="67">
        <v>43147.4</v>
      </c>
    </row>
    <row r="347" spans="1:2">
      <c r="A347" s="66" t="s">
        <v>2526</v>
      </c>
      <c r="B347" s="67">
        <v>43150.64770833333</v>
      </c>
    </row>
    <row r="348" spans="1:2">
      <c r="A348" s="66" t="s">
        <v>2526</v>
      </c>
      <c r="B348" s="67">
        <v>43150.649768518517</v>
      </c>
    </row>
    <row r="349" spans="1:2">
      <c r="A349" s="66" t="s">
        <v>2526</v>
      </c>
      <c r="B349" s="67">
        <v>43150.651296296295</v>
      </c>
    </row>
    <row r="350" spans="1:2">
      <c r="A350" s="66" t="s">
        <v>2526</v>
      </c>
      <c r="B350" s="67">
        <v>43150.652349537035</v>
      </c>
    </row>
    <row r="351" spans="1:2">
      <c r="A351" s="66" t="s">
        <v>2526</v>
      </c>
      <c r="B351" s="67">
        <v>43150.652384259258</v>
      </c>
    </row>
    <row r="352" spans="1:2">
      <c r="A352" s="66" t="s">
        <v>2528</v>
      </c>
      <c r="B352" s="67">
        <v>43159.561516203707</v>
      </c>
    </row>
    <row r="353" spans="1:2">
      <c r="A353" s="66" t="s">
        <v>2526</v>
      </c>
      <c r="B353" s="67">
        <v>43174.388391203705</v>
      </c>
    </row>
    <row r="354" spans="1:2">
      <c r="A354" s="66" t="s">
        <v>2526</v>
      </c>
      <c r="B354" s="67">
        <v>43174.390219907407</v>
      </c>
    </row>
    <row r="355" spans="1:2">
      <c r="A355" s="66" t="s">
        <v>2526</v>
      </c>
      <c r="B355" s="67">
        <v>43174.405451388891</v>
      </c>
    </row>
    <row r="356" spans="1:2">
      <c r="A356" s="66" t="s">
        <v>2526</v>
      </c>
      <c r="B356" s="67">
        <v>43174.406527777777</v>
      </c>
    </row>
    <row r="357" spans="1:2">
      <c r="A357" s="66" t="s">
        <v>2526</v>
      </c>
      <c r="B357" s="67">
        <v>43174.412557870368</v>
      </c>
    </row>
    <row r="358" spans="1:2">
      <c r="A358" s="66" t="s">
        <v>2526</v>
      </c>
      <c r="B358" s="67">
        <v>43174.413738425923</v>
      </c>
    </row>
    <row r="359" spans="1:2">
      <c r="A359" s="66" t="s">
        <v>2526</v>
      </c>
      <c r="B359" s="67">
        <v>43174.413854166669</v>
      </c>
    </row>
    <row r="360" spans="1:2">
      <c r="A360" s="66" t="s">
        <v>2526</v>
      </c>
      <c r="B360" s="67">
        <v>43174.415648148148</v>
      </c>
    </row>
    <row r="361" spans="1:2">
      <c r="A361" s="66" t="s">
        <v>2526</v>
      </c>
      <c r="B361" s="67">
        <v>43174.427233796298</v>
      </c>
    </row>
    <row r="362" spans="1:2">
      <c r="A362" s="66" t="s">
        <v>2526</v>
      </c>
      <c r="B362" s="67">
        <v>43174.428148148145</v>
      </c>
    </row>
    <row r="363" spans="1:2">
      <c r="A363" s="66" t="s">
        <v>2526</v>
      </c>
      <c r="B363" s="67">
        <v>43174.428252314814</v>
      </c>
    </row>
    <row r="364" spans="1:2">
      <c r="A364" s="66" t="s">
        <v>2526</v>
      </c>
      <c r="B364" s="67">
        <v>43174.428310185183</v>
      </c>
    </row>
    <row r="365" spans="1:2">
      <c r="A365" s="66" t="s">
        <v>2526</v>
      </c>
      <c r="B365" s="67">
        <v>43174.428414351853</v>
      </c>
    </row>
    <row r="366" spans="1:2">
      <c r="A366" s="66" t="s">
        <v>2526</v>
      </c>
      <c r="B366" s="67">
        <v>43174.428506944445</v>
      </c>
    </row>
    <row r="367" spans="1:2">
      <c r="A367" s="66" t="s">
        <v>2526</v>
      </c>
      <c r="B367" s="67">
        <v>43174.428587962961</v>
      </c>
    </row>
    <row r="368" spans="1:2">
      <c r="A368" s="66" t="s">
        <v>2526</v>
      </c>
      <c r="B368" s="67">
        <v>43174.428657407407</v>
      </c>
    </row>
    <row r="369" spans="1:2">
      <c r="A369" s="66" t="s">
        <v>2526</v>
      </c>
      <c r="B369" s="67">
        <v>43174.428877314815</v>
      </c>
    </row>
    <row r="370" spans="1:2">
      <c r="A370" s="66" t="s">
        <v>2526</v>
      </c>
      <c r="B370" s="67">
        <v>43174.42895833333</v>
      </c>
    </row>
    <row r="371" spans="1:2">
      <c r="A371" s="66" t="s">
        <v>2526</v>
      </c>
      <c r="B371" s="67">
        <v>43174.429293981484</v>
      </c>
    </row>
    <row r="372" spans="1:2">
      <c r="A372" s="66" t="s">
        <v>2526</v>
      </c>
      <c r="B372" s="67">
        <v>43174.429363425923</v>
      </c>
    </row>
    <row r="373" spans="1:2">
      <c r="A373" s="66" t="s">
        <v>2526</v>
      </c>
      <c r="B373" s="67">
        <v>43174.429583333331</v>
      </c>
    </row>
    <row r="374" spans="1:2">
      <c r="A374" s="66" t="s">
        <v>2526</v>
      </c>
      <c r="B374" s="67">
        <v>43174.429745370369</v>
      </c>
    </row>
    <row r="375" spans="1:2">
      <c r="A375" s="66" t="s">
        <v>2526</v>
      </c>
      <c r="B375" s="67">
        <v>43174.429849537039</v>
      </c>
    </row>
    <row r="376" spans="1:2">
      <c r="A376" s="66" t="s">
        <v>2526</v>
      </c>
      <c r="B376" s="67">
        <v>43174.430208333331</v>
      </c>
    </row>
    <row r="377" spans="1:2">
      <c r="A377" s="66" t="s">
        <v>2526</v>
      </c>
      <c r="B377" s="67">
        <v>43174.430532407408</v>
      </c>
    </row>
    <row r="378" spans="1:2">
      <c r="A378" s="66" t="s">
        <v>2526</v>
      </c>
      <c r="B378" s="67">
        <v>43174.432280092595</v>
      </c>
    </row>
    <row r="379" spans="1:2">
      <c r="A379" s="66" t="s">
        <v>2526</v>
      </c>
      <c r="B379" s="67">
        <v>43174.432395833333</v>
      </c>
    </row>
    <row r="380" spans="1:2">
      <c r="A380" s="66" t="s">
        <v>2526</v>
      </c>
      <c r="B380" s="67">
        <v>43174.434201388889</v>
      </c>
    </row>
    <row r="381" spans="1:2">
      <c r="A381" s="66" t="s">
        <v>2526</v>
      </c>
      <c r="B381" s="67">
        <v>43174.435208333336</v>
      </c>
    </row>
    <row r="382" spans="1:2">
      <c r="A382" s="66" t="s">
        <v>2526</v>
      </c>
      <c r="B382" s="67">
        <v>43174.438784722224</v>
      </c>
    </row>
    <row r="383" spans="1:2">
      <c r="A383" s="66" t="s">
        <v>2526</v>
      </c>
      <c r="B383" s="67">
        <v>43174.440983796296</v>
      </c>
    </row>
    <row r="384" spans="1:2">
      <c r="A384" s="66" t="s">
        <v>2526</v>
      </c>
      <c r="B384" s="67">
        <v>43174.443402777775</v>
      </c>
    </row>
    <row r="385" spans="1:2">
      <c r="A385" s="66" t="s">
        <v>2526</v>
      </c>
      <c r="B385" s="67">
        <v>43174.462037037039</v>
      </c>
    </row>
    <row r="386" spans="1:2">
      <c r="A386" s="66" t="s">
        <v>2526</v>
      </c>
      <c r="B386" s="67">
        <v>43180.5153125</v>
      </c>
    </row>
    <row r="387" spans="1:2">
      <c r="A387" s="66" t="s">
        <v>2526</v>
      </c>
      <c r="B387" s="67">
        <v>43180.554942129631</v>
      </c>
    </row>
    <row r="388" spans="1:2">
      <c r="A388" s="66" t="s">
        <v>2526</v>
      </c>
      <c r="B388" s="67">
        <v>43180.594652777778</v>
      </c>
    </row>
    <row r="389" spans="1:2">
      <c r="A389" s="66" t="s">
        <v>2526</v>
      </c>
      <c r="B389" s="67">
        <v>43181.36446759259</v>
      </c>
    </row>
    <row r="390" spans="1:2">
      <c r="A390" s="66" t="s">
        <v>2526</v>
      </c>
      <c r="B390" s="67">
        <v>43181.365810185183</v>
      </c>
    </row>
    <row r="391" spans="1:2">
      <c r="A391" s="66" t="s">
        <v>2526</v>
      </c>
      <c r="B391" s="67">
        <v>43181.378541666665</v>
      </c>
    </row>
    <row r="392" spans="1:2">
      <c r="A392" s="66" t="s">
        <v>2526</v>
      </c>
      <c r="B392" s="67">
        <v>43181.381099537037</v>
      </c>
    </row>
    <row r="393" spans="1:2">
      <c r="A393" s="66" t="s">
        <v>2526</v>
      </c>
      <c r="B393" s="67">
        <v>43181.388773148145</v>
      </c>
    </row>
    <row r="394" spans="1:2">
      <c r="A394" s="66" t="s">
        <v>2526</v>
      </c>
      <c r="B394" s="67">
        <v>43181.398101851853</v>
      </c>
    </row>
    <row r="395" spans="1:2">
      <c r="A395" s="66" t="s">
        <v>2526</v>
      </c>
      <c r="B395" s="67">
        <v>43181.405613425923</v>
      </c>
    </row>
    <row r="396" spans="1:2">
      <c r="A396" s="66" t="s">
        <v>2526</v>
      </c>
      <c r="B396" s="67">
        <v>43181.41547453704</v>
      </c>
    </row>
    <row r="397" spans="1:2">
      <c r="A397" s="66" t="s">
        <v>2526</v>
      </c>
      <c r="B397" s="67">
        <v>43181.418229166666</v>
      </c>
    </row>
    <row r="398" spans="1:2">
      <c r="A398" s="66" t="s">
        <v>2526</v>
      </c>
      <c r="B398" s="67">
        <v>43181.458136574074</v>
      </c>
    </row>
    <row r="399" spans="1:2">
      <c r="A399" s="66" t="s">
        <v>2526</v>
      </c>
      <c r="B399" s="67">
        <v>43181.519189814811</v>
      </c>
    </row>
    <row r="400" spans="1:2">
      <c r="A400" s="66" t="s">
        <v>2526</v>
      </c>
      <c r="B400" s="67">
        <v>43181.551064814812</v>
      </c>
    </row>
    <row r="401" spans="1:2">
      <c r="A401" s="66" t="s">
        <v>2526</v>
      </c>
      <c r="B401" s="67">
        <v>43181.553854166668</v>
      </c>
    </row>
    <row r="402" spans="1:2">
      <c r="A402" s="66" t="s">
        <v>2526</v>
      </c>
      <c r="B402" s="67">
        <v>43181.556226851855</v>
      </c>
    </row>
    <row r="403" spans="1:2">
      <c r="A403" s="66" t="s">
        <v>2526</v>
      </c>
      <c r="B403" s="67">
        <v>43181.563530092593</v>
      </c>
    </row>
    <row r="404" spans="1:2">
      <c r="A404" s="66" t="s">
        <v>2526</v>
      </c>
      <c r="B404" s="67">
        <v>43181.578773148147</v>
      </c>
    </row>
    <row r="405" spans="1:2">
      <c r="A405" s="66" t="s">
        <v>2526</v>
      </c>
      <c r="B405" s="67">
        <v>43181.601793981485</v>
      </c>
    </row>
    <row r="406" spans="1:2">
      <c r="A406" s="66" t="s">
        <v>2526</v>
      </c>
      <c r="B406" s="67">
        <v>43182.368379629632</v>
      </c>
    </row>
    <row r="407" spans="1:2">
      <c r="A407" s="66" t="s">
        <v>2526</v>
      </c>
      <c r="B407" s="67">
        <v>43182.368506944447</v>
      </c>
    </row>
    <row r="408" spans="1:2">
      <c r="A408" s="66" t="s">
        <v>2526</v>
      </c>
      <c r="B408" s="67">
        <v>43182.385277777779</v>
      </c>
    </row>
    <row r="409" spans="1:2">
      <c r="A409" s="66" t="s">
        <v>2526</v>
      </c>
      <c r="B409" s="67">
        <v>43182.390405092592</v>
      </c>
    </row>
    <row r="410" spans="1:2">
      <c r="A410" s="66" t="s">
        <v>2526</v>
      </c>
      <c r="B410" s="67">
        <v>43182.394328703704</v>
      </c>
    </row>
    <row r="411" spans="1:2">
      <c r="A411" s="66" t="s">
        <v>2526</v>
      </c>
      <c r="B411" s="67">
        <v>43182.401828703703</v>
      </c>
    </row>
    <row r="412" spans="1:2">
      <c r="A412" s="66" t="s">
        <v>2526</v>
      </c>
      <c r="B412" s="67">
        <v>43182.413518518515</v>
      </c>
    </row>
    <row r="413" spans="1:2">
      <c r="A413" s="66" t="s">
        <v>2526</v>
      </c>
      <c r="B413" s="67">
        <v>43182.413923611108</v>
      </c>
    </row>
    <row r="414" spans="1:2">
      <c r="A414" s="66" t="s">
        <v>2526</v>
      </c>
      <c r="B414" s="67">
        <v>43182.414548611108</v>
      </c>
    </row>
    <row r="415" spans="1:2">
      <c r="A415" s="66" t="s">
        <v>2526</v>
      </c>
      <c r="B415" s="67">
        <v>43182.415335648147</v>
      </c>
    </row>
    <row r="416" spans="1:2">
      <c r="A416" s="66" t="s">
        <v>2526</v>
      </c>
      <c r="B416" s="67">
        <v>43182.416516203702</v>
      </c>
    </row>
    <row r="417" spans="1:2">
      <c r="A417" s="66" t="s">
        <v>2526</v>
      </c>
      <c r="B417" s="67">
        <v>43182.420891203707</v>
      </c>
    </row>
    <row r="418" spans="1:2">
      <c r="A418" s="66" t="s">
        <v>2526</v>
      </c>
      <c r="B418" s="67">
        <v>43182.421099537038</v>
      </c>
    </row>
    <row r="419" spans="1:2">
      <c r="A419" s="66" t="s">
        <v>2526</v>
      </c>
      <c r="B419" s="67">
        <v>43182.4221875</v>
      </c>
    </row>
    <row r="420" spans="1:2">
      <c r="A420" s="66" t="s">
        <v>2526</v>
      </c>
      <c r="B420" s="67">
        <v>43182.422951388886</v>
      </c>
    </row>
    <row r="421" spans="1:2">
      <c r="A421" s="66" t="s">
        <v>2526</v>
      </c>
      <c r="B421" s="67">
        <v>43182.423113425924</v>
      </c>
    </row>
    <row r="422" spans="1:2">
      <c r="A422" s="66" t="s">
        <v>2526</v>
      </c>
      <c r="B422" s="67">
        <v>43182.423483796294</v>
      </c>
    </row>
    <row r="423" spans="1:2">
      <c r="A423" s="66" t="s">
        <v>2526</v>
      </c>
      <c r="B423" s="67">
        <v>43182.423807870371</v>
      </c>
    </row>
    <row r="424" spans="1:2">
      <c r="A424" s="66" t="s">
        <v>2526</v>
      </c>
      <c r="B424" s="67">
        <v>43182.426574074074</v>
      </c>
    </row>
    <row r="425" spans="1:2">
      <c r="A425" s="66" t="s">
        <v>2526</v>
      </c>
      <c r="B425" s="67">
        <v>43182.428437499999</v>
      </c>
    </row>
    <row r="426" spans="1:2">
      <c r="A426" s="66" t="s">
        <v>2526</v>
      </c>
      <c r="B426" s="67">
        <v>43182.429456018515</v>
      </c>
    </row>
    <row r="427" spans="1:2">
      <c r="A427" s="66" t="s">
        <v>2526</v>
      </c>
      <c r="B427" s="67">
        <v>43185.450868055559</v>
      </c>
    </row>
    <row r="428" spans="1:2">
      <c r="A428" s="66" t="s">
        <v>2526</v>
      </c>
      <c r="B428" s="67">
        <v>43185.46806712963</v>
      </c>
    </row>
    <row r="429" spans="1:2">
      <c r="A429" s="66" t="s">
        <v>2526</v>
      </c>
      <c r="B429" s="67">
        <v>43186.467106481483</v>
      </c>
    </row>
    <row r="430" spans="1:2">
      <c r="A430" s="66" t="s">
        <v>2526</v>
      </c>
      <c r="B430" s="67">
        <v>43196.457071759258</v>
      </c>
    </row>
  </sheetData>
  <sheetProtection algorithmName="SHA-512" hashValue="aEX1eQbkCC/of4paAPTpJhv7pmOeCKmGLGDvCK4fEpjRmH32SY875CW1g3zh3TkvjRzZMAFeGDCmIOjfZZj+oQ==" saltValue="Sn6+A/4aFHp84djHAkU6jw==" spinCount="10000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5">
    <tabColor theme="0" tint="-0.14999847407452621"/>
    <pageSetUpPr fitToPage="1"/>
  </sheetPr>
  <dimension ref="A1:W32"/>
  <sheetViews>
    <sheetView zoomScale="90" zoomScaleNormal="90" workbookViewId="0">
      <selection activeCell="F29" sqref="F29"/>
    </sheetView>
  </sheetViews>
  <sheetFormatPr defaultColWidth="9.109375" defaultRowHeight="13.2"/>
  <cols>
    <col min="1" max="1" width="7.6640625" style="245" customWidth="1"/>
    <col min="2" max="2" width="24.44140625" style="245" customWidth="1"/>
    <col min="3" max="3" width="15.5546875" style="245" customWidth="1"/>
    <col min="4" max="4" width="20.5546875" style="245" customWidth="1"/>
    <col min="5" max="5" width="22.88671875" style="252" customWidth="1"/>
    <col min="6" max="10" width="20.5546875" style="245" customWidth="1"/>
    <col min="11" max="11" width="17.33203125" style="246" bestFit="1" customWidth="1"/>
    <col min="12" max="12" width="14.44140625" style="69" bestFit="1" customWidth="1"/>
    <col min="13" max="14" width="9.109375" style="69" customWidth="1"/>
    <col min="15" max="15" width="10.33203125" style="69" customWidth="1"/>
    <col min="16" max="16" width="9.33203125" style="69" customWidth="1"/>
    <col min="17" max="17" width="10.5546875" style="69" customWidth="1"/>
    <col min="18" max="18" width="13" style="69" customWidth="1"/>
    <col min="19" max="19" width="9.33203125" style="69" customWidth="1"/>
    <col min="20" max="20" width="9.109375" style="69" customWidth="1"/>
    <col min="21" max="21" width="9.109375" style="69"/>
    <col min="22" max="22" width="9.109375" style="69" customWidth="1"/>
    <col min="23" max="23" width="10.88671875" style="71" customWidth="1"/>
    <col min="24" max="25" width="10.109375" style="69" customWidth="1"/>
    <col min="26" max="26" width="9.109375" style="69" customWidth="1"/>
    <col min="27" max="16384" width="9.109375" style="69"/>
  </cols>
  <sheetData>
    <row r="1" spans="1:23">
      <c r="L1" s="246"/>
      <c r="W1" s="69"/>
    </row>
    <row r="2" spans="1:23" s="68" customFormat="1">
      <c r="A2" s="698" t="str">
        <f>'Tabela informacyjna'!A1</f>
        <v>Klient</v>
      </c>
      <c r="B2" s="698"/>
      <c r="C2" s="697">
        <f>'Tabela informacyjna'!B1</f>
        <v>0</v>
      </c>
      <c r="D2" s="697"/>
      <c r="E2" s="698" t="str">
        <f>'Tabela informacyjna'!A11</f>
        <v>Data ofertowania</v>
      </c>
      <c r="F2" s="698"/>
      <c r="G2" s="699">
        <f>'Tabela informacyjna'!B11</f>
        <v>0</v>
      </c>
      <c r="H2" s="697"/>
      <c r="I2" s="248"/>
      <c r="J2" s="245"/>
      <c r="K2" s="244"/>
      <c r="L2" s="244"/>
    </row>
    <row r="3" spans="1:23" s="68" customFormat="1" ht="14.25" customHeight="1">
      <c r="A3" s="698" t="str">
        <f>'Tabela informacyjna'!A2</f>
        <v>Wytwórca odpadu</v>
      </c>
      <c r="B3" s="698"/>
      <c r="C3" s="697">
        <f>'Tabela informacyjna'!B2</f>
        <v>0</v>
      </c>
      <c r="D3" s="697"/>
      <c r="E3" s="698" t="str">
        <f>'Tabela informacyjna'!A12</f>
        <v>Termin Płatności</v>
      </c>
      <c r="F3" s="698"/>
      <c r="G3" s="697">
        <f>'Tabela informacyjna'!B12</f>
        <v>0</v>
      </c>
      <c r="H3" s="697"/>
      <c r="I3" s="249"/>
      <c r="J3" s="248"/>
      <c r="K3" s="244"/>
      <c r="L3" s="244"/>
    </row>
    <row r="4" spans="1:23" s="68" customFormat="1" ht="14.25" customHeight="1">
      <c r="A4" s="698" t="str">
        <f>'Tabela informacyjna'!A4</f>
        <v>Market</v>
      </c>
      <c r="B4" s="698"/>
      <c r="C4" s="697">
        <f>'Tabela informacyjna'!B4</f>
        <v>0</v>
      </c>
      <c r="D4" s="697"/>
      <c r="E4" s="698" t="str">
        <f>'Tabela informacyjna'!A13</f>
        <v>Długość Kontraktu</v>
      </c>
      <c r="F4" s="698"/>
      <c r="G4" s="697">
        <f>'Tabela informacyjna'!B13</f>
        <v>0</v>
      </c>
      <c r="H4" s="697"/>
      <c r="I4" s="248"/>
      <c r="J4" s="248"/>
      <c r="K4" s="244"/>
      <c r="L4" s="244"/>
    </row>
    <row r="5" spans="1:23" s="68" customFormat="1" ht="14.25" customHeight="1">
      <c r="A5" s="698" t="str">
        <f>'Tabela informacyjna'!A5</f>
        <v>Segment</v>
      </c>
      <c r="B5" s="698"/>
      <c r="C5" s="697">
        <f>'Tabela informacyjna'!B5</f>
        <v>0</v>
      </c>
      <c r="D5" s="697"/>
      <c r="E5" s="698" t="str">
        <f>'Tabela informacyjna'!A14</f>
        <v>Data utworzenia</v>
      </c>
      <c r="F5" s="698"/>
      <c r="G5" s="697">
        <f>'Tabela informacyjna'!B14</f>
        <v>0</v>
      </c>
      <c r="H5" s="697"/>
      <c r="I5" s="248"/>
      <c r="J5" s="248"/>
      <c r="K5" s="244"/>
      <c r="L5" s="244"/>
    </row>
    <row r="6" spans="1:23" s="68" customFormat="1" ht="14.25" customHeight="1">
      <c r="A6" s="698" t="str">
        <f>'Tabela informacyjna'!A6</f>
        <v>Sub-segment</v>
      </c>
      <c r="B6" s="698"/>
      <c r="C6" s="697">
        <f>'Tabela informacyjna'!B6</f>
        <v>0</v>
      </c>
      <c r="D6" s="697"/>
      <c r="E6" s="698" t="str">
        <f>'Tabela informacyjna'!A15</f>
        <v>Opracował kalkulację</v>
      </c>
      <c r="F6" s="698"/>
      <c r="G6" s="697">
        <f>'Tabela informacyjna'!B15</f>
        <v>0</v>
      </c>
      <c r="H6" s="697"/>
      <c r="I6" s="248"/>
      <c r="J6" s="248"/>
      <c r="K6" s="244"/>
      <c r="L6" s="244"/>
    </row>
    <row r="7" spans="1:23" s="68" customFormat="1" ht="14.25" customHeight="1">
      <c r="A7" s="698" t="str">
        <f>'Tabela informacyjna'!A7</f>
        <v>Sub-sub-segment</v>
      </c>
      <c r="B7" s="698"/>
      <c r="C7" s="697">
        <f>'Tabela informacyjna'!B7</f>
        <v>0</v>
      </c>
      <c r="D7" s="697"/>
      <c r="E7" s="698" t="str">
        <f>'Tabela informacyjna'!A16</f>
        <v>Nr zapytania</v>
      </c>
      <c r="F7" s="698"/>
      <c r="G7" s="697">
        <f>'Tabela informacyjna'!B16</f>
        <v>0</v>
      </c>
      <c r="H7" s="697"/>
      <c r="I7" s="248"/>
      <c r="J7" s="248"/>
      <c r="K7" s="244"/>
      <c r="L7" s="244"/>
    </row>
    <row r="8" spans="1:23" s="68" customFormat="1" ht="14.25" customHeight="1">
      <c r="A8" s="698" t="str">
        <f>'Tabela informacyjna'!A8</f>
        <v>NIP</v>
      </c>
      <c r="B8" s="698"/>
      <c r="C8" s="697">
        <f>'Tabela informacyjna'!B8</f>
        <v>0</v>
      </c>
      <c r="D8" s="697"/>
      <c r="E8" s="698" t="str">
        <f>'Tabela informacyjna'!A17</f>
        <v>Lider wyceny</v>
      </c>
      <c r="F8" s="698"/>
      <c r="G8" s="697">
        <f>'Tabela informacyjna'!B17</f>
        <v>0</v>
      </c>
      <c r="H8" s="697"/>
      <c r="I8" s="248"/>
      <c r="J8" s="248"/>
      <c r="K8" s="244"/>
      <c r="L8" s="244"/>
    </row>
    <row r="9" spans="1:23" s="68" customFormat="1" ht="14.25" customHeight="1">
      <c r="A9" s="698" t="str">
        <f>'Tabela informacyjna'!A9</f>
        <v>Nazwisko handlowca</v>
      </c>
      <c r="B9" s="698"/>
      <c r="C9" s="697">
        <f>'Tabela informacyjna'!B9</f>
        <v>0</v>
      </c>
      <c r="D9" s="697"/>
      <c r="E9" s="698" t="str">
        <f>'Tabela informacyjna'!A18</f>
        <v>Ostatnio edytowany przez</v>
      </c>
      <c r="F9" s="698"/>
      <c r="G9" s="697" t="str">
        <f>'Tabela informacyjna'!B18</f>
        <v>kbronkow</v>
      </c>
      <c r="H9" s="697"/>
      <c r="I9" s="248"/>
      <c r="J9" s="248"/>
      <c r="K9" s="244"/>
      <c r="L9" s="244"/>
    </row>
    <row r="10" spans="1:23" s="68" customFormat="1" ht="14.25" customHeight="1">
      <c r="A10" s="698" t="str">
        <f>'Tabela informacyjna'!A10</f>
        <v>Przetarg/oferta handlowa</v>
      </c>
      <c r="B10" s="698"/>
      <c r="C10" s="697">
        <f>'Tabela informacyjna'!B10</f>
        <v>0</v>
      </c>
      <c r="D10" s="697"/>
      <c r="E10" s="698" t="str">
        <f>'Tabela informacyjna'!A19</f>
        <v>Data ostatniej edycji</v>
      </c>
      <c r="F10" s="698"/>
      <c r="G10" s="699">
        <f>'Tabela informacyjna'!B19</f>
        <v>43196.457071759258</v>
      </c>
      <c r="H10" s="699"/>
      <c r="I10" s="248"/>
      <c r="J10" s="248"/>
      <c r="K10" s="244"/>
      <c r="L10" s="244"/>
    </row>
    <row r="11" spans="1:23" s="68" customFormat="1" ht="10.199999999999999">
      <c r="A11" s="248"/>
      <c r="B11" s="248"/>
      <c r="C11" s="248"/>
      <c r="D11" s="250"/>
      <c r="E11" s="249"/>
      <c r="F11" s="248"/>
      <c r="G11" s="248"/>
      <c r="H11" s="248"/>
      <c r="I11" s="248"/>
      <c r="J11" s="248"/>
      <c r="K11" s="244"/>
      <c r="L11" s="244"/>
    </row>
    <row r="12" spans="1:23" s="68" customFormat="1" ht="10.199999999999999">
      <c r="A12" s="248"/>
      <c r="B12" s="248"/>
      <c r="C12" s="248"/>
      <c r="D12" s="251"/>
      <c r="E12" s="249"/>
      <c r="F12" s="248"/>
      <c r="G12" s="244"/>
      <c r="H12" s="248"/>
      <c r="I12" s="248"/>
      <c r="J12" s="248"/>
      <c r="K12" s="244"/>
      <c r="L12" s="244"/>
    </row>
    <row r="13" spans="1:23" s="68" customFormat="1" ht="17.399999999999999">
      <c r="A13" s="248"/>
      <c r="B13" s="694" t="s">
        <v>2442</v>
      </c>
      <c r="C13" s="695"/>
      <c r="D13" s="695"/>
      <c r="E13" s="695"/>
      <c r="F13" s="695"/>
      <c r="G13" s="695"/>
      <c r="H13" s="695"/>
      <c r="I13" s="695"/>
      <c r="J13" s="696"/>
      <c r="K13" s="244"/>
      <c r="W13" s="70"/>
    </row>
    <row r="14" spans="1:23" s="68" customFormat="1" ht="26.4">
      <c r="A14" s="260"/>
      <c r="B14" s="273" t="s">
        <v>126</v>
      </c>
      <c r="C14" s="261" t="s">
        <v>1707</v>
      </c>
      <c r="D14" s="261" t="s">
        <v>1014</v>
      </c>
      <c r="E14" s="261" t="s">
        <v>1017</v>
      </c>
      <c r="F14" s="261" t="s">
        <v>122</v>
      </c>
      <c r="G14" s="261" t="s">
        <v>2365</v>
      </c>
      <c r="H14" s="262" t="s">
        <v>2373</v>
      </c>
      <c r="I14" s="262" t="s">
        <v>2152</v>
      </c>
      <c r="J14" s="272" t="s">
        <v>2189</v>
      </c>
      <c r="K14" s="244"/>
      <c r="W14" s="70"/>
    </row>
    <row r="15" spans="1:23" s="68" customFormat="1">
      <c r="A15" s="134"/>
      <c r="B15" s="274" t="str">
        <f>KSO_odpady!CZ3</f>
        <v>Odpady Przemysłowe</v>
      </c>
      <c r="C15" s="263">
        <f>SUMIFS(Kalkulacja[Szacunkowa ilość odpadu (Mg/rok)],Kalkulacja[Rodzaj odpadu],Podsumowanie_ROK[[#This Row],[Podsumowanie]])</f>
        <v>0</v>
      </c>
      <c r="D15" s="264" t="str">
        <f>IFERROR(Podsumowanie_ROK[[#This Row],[Zysk '[PLN/rok']]]/Podsumowanie_ROK[[#This Row],[Obrót '[PLN/rok'] ]],"")</f>
        <v/>
      </c>
      <c r="E15" s="263">
        <f>SUMIFS(Kalkulacja[Obrót (PLN/rok) ],Kalkulacja[Rodzaj odpadu],Podsumowanie_ROK[[#This Row],[Podsumowanie]])</f>
        <v>0</v>
      </c>
      <c r="F15" s="263">
        <f>SUMIFS(Kalkulacja[Zysk (PLN/rok)],Kalkulacja[Rodzaj odpadu],Podsumowanie_ROK[[#This Row],[Podsumowanie]])</f>
        <v>0</v>
      </c>
      <c r="G15" s="263" t="str">
        <f>IFERROR(Podsumowanie_ROK[[#This Row],[Zysk '[PLN/rok']]]/Podsumowanie_ROK[[#This Row],[Ilość odpadów 
'[Mg/rok']]],"")</f>
        <v/>
      </c>
      <c r="H15" s="263">
        <f>SUMIFS(Kalkulacja[SUEZ płaci Klientowi (PLN/rok)],Kalkulacja[Rodzaj odpadu],Podsumowanie_ROK[[#This Row],[Podsumowanie]])</f>
        <v>0</v>
      </c>
      <c r="I15" s="263">
        <f>SUMIFS(Kalkulacja[Klient płaci SUEZ (PLN/rok)],Kalkulacja[Rodzaj odpadu],Podsumowanie_ROK[[#This Row],[Podsumowanie]])</f>
        <v>0</v>
      </c>
      <c r="J15" s="275">
        <f>Podsumowanie_ROK[[#This Row],[SUEZ płaci Klientowi '[PLN/rok']]]-Podsumowanie_ROK[[#This Row],[Klient płaci SUEZ '[PLN/rok']]]</f>
        <v>0</v>
      </c>
      <c r="K15" s="244"/>
      <c r="U15" s="70"/>
    </row>
    <row r="16" spans="1:23" s="68" customFormat="1">
      <c r="A16" s="134"/>
      <c r="B16" s="276" t="str">
        <f>KSO_odpady!CZ2</f>
        <v>Surowce</v>
      </c>
      <c r="C16" s="265">
        <f>SUMIFS(Kalkulacja[Szacunkowa ilość odpadu (Mg/rok)],Kalkulacja[Rodzaj odpadu],Podsumowanie_ROK[[#This Row],[Podsumowanie]])</f>
        <v>0</v>
      </c>
      <c r="D16" s="266" t="str">
        <f>IFERROR(Podsumowanie_ROK[[#This Row],[Zysk '[PLN/rok']]]/Podsumowanie_ROK[[#This Row],[Obrót '[PLN/rok'] ]],"")</f>
        <v/>
      </c>
      <c r="E16" s="265">
        <f>SUMIFS(Kalkulacja[Obrót (PLN/rok) ],Kalkulacja[Rodzaj odpadu],Podsumowanie_ROK[[#This Row],[Podsumowanie]])</f>
        <v>0</v>
      </c>
      <c r="F16" s="265">
        <f>SUMIFS(Kalkulacja[Zysk (PLN/rok)],Kalkulacja[Rodzaj odpadu],Podsumowanie_ROK[[#This Row],[Podsumowanie]])</f>
        <v>0</v>
      </c>
      <c r="G16" s="265" t="str">
        <f>IFERROR(Podsumowanie_ROK[[#This Row],[Klient płaci SUEZ '[PLN/rok']]]/Podsumowanie_ROK[[#This Row],[Ilość odpadów 
'[Mg/rok']]],"")</f>
        <v/>
      </c>
      <c r="H16" s="265">
        <f>SUMIFS(Kalkulacja[SUEZ płaci Klientowi (PLN/rok)],Kalkulacja[Rodzaj odpadu],Podsumowanie_ROK[[#This Row],[Podsumowanie]])</f>
        <v>0</v>
      </c>
      <c r="I16" s="265">
        <f>SUMIFS(Kalkulacja[Klient płaci SUEZ (PLN/rok)],Kalkulacja[Rodzaj odpadu],Podsumowanie_ROK[[#This Row],[Podsumowanie]])</f>
        <v>0</v>
      </c>
      <c r="J16" s="277">
        <f>Podsumowanie_ROK[[#This Row],[SUEZ płaci Klientowi '[PLN/rok']]]-Podsumowanie_ROK[[#This Row],[Klient płaci SUEZ '[PLN/rok']]]</f>
        <v>0</v>
      </c>
      <c r="K16" s="244"/>
      <c r="U16" s="70"/>
    </row>
    <row r="17" spans="1:23" s="68" customFormat="1">
      <c r="A17" s="134"/>
      <c r="B17" s="278" t="s">
        <v>2248</v>
      </c>
      <c r="C17" s="267">
        <f>SUBTOTAL(109,C15:C16)</f>
        <v>0</v>
      </c>
      <c r="D17" s="268">
        <f>IFERROR(Podsumowanie_ROK[[#This Row],[Zysk '[PLN/rok']]]/Podsumowanie_ROK[[#This Row],[Obrót '[PLN/rok'] ]],0)</f>
        <v>0</v>
      </c>
      <c r="E17" s="267">
        <f t="shared" ref="E17:J17" si="0">SUBTOTAL(109,E15:E16)</f>
        <v>0</v>
      </c>
      <c r="F17" s="267">
        <f t="shared" si="0"/>
        <v>0</v>
      </c>
      <c r="G17" s="267" t="e">
        <f>Podsumowanie_ROK[[#This Row],[Zysk '[PLN/rok']]]/Podsumowanie_ROK[[#This Row],[Ilość odpadów 
'[Mg/rok']]]</f>
        <v>#DIV/0!</v>
      </c>
      <c r="H17" s="267">
        <f t="shared" si="0"/>
        <v>0</v>
      </c>
      <c r="I17" s="267">
        <f t="shared" si="0"/>
        <v>0</v>
      </c>
      <c r="J17" s="279">
        <f t="shared" si="0"/>
        <v>0</v>
      </c>
      <c r="K17" s="244"/>
      <c r="U17" s="70"/>
    </row>
    <row r="18" spans="1:23" s="68" customFormat="1">
      <c r="A18" s="134"/>
      <c r="B18" s="276" t="s">
        <v>1927</v>
      </c>
      <c r="C18" s="265"/>
      <c r="D18" s="266" t="e">
        <f>Podsumowanie_ROK[[#This Row],[Zysk '[PLN/rok']]]/Podsumowanie_ROK[[#This Row],[Obrót '[PLN/rok'] ]]</f>
        <v>#DIV/0!</v>
      </c>
      <c r="E18" s="265">
        <f>Podsumowanie_S[[#Totals],[Obrót 
'[zł/rok']]]+Podsumowanie_L[[#Totals],[Obrót 
'[zł/rok']]]</f>
        <v>0</v>
      </c>
      <c r="F18" s="265">
        <f>Podsumowanie_S[[#Totals],[Zysk
 '[zł/rok']]]+Podsumowanie_L[[#Totals],[Zysk
 '[zł/rok']]]</f>
        <v>0</v>
      </c>
      <c r="G18" s="265"/>
      <c r="H18" s="265">
        <v>0</v>
      </c>
      <c r="I18" s="265">
        <f>Podsumowanie_ROK[[#This Row],[Obrót '[PLN/rok'] ]]</f>
        <v>0</v>
      </c>
      <c r="J18" s="277">
        <f>Podsumowanie_ROK[[#This Row],[SUEZ płaci Klientowi '[PLN/rok']]]-Podsumowanie_ROK[[#This Row],[Klient płaci SUEZ '[PLN/rok']]]</f>
        <v>0</v>
      </c>
      <c r="K18" s="244"/>
      <c r="U18" s="70"/>
    </row>
    <row r="19" spans="1:23" s="68" customFormat="1">
      <c r="A19" s="134"/>
      <c r="B19" s="280" t="s">
        <v>2176</v>
      </c>
      <c r="C19" s="281">
        <f>C17</f>
        <v>0</v>
      </c>
      <c r="D19" s="282" t="e">
        <f>Podsumowanie_ROK[[#Totals],[Zysk '[PLN/rok']]]/Podsumowanie_ROK[[#Totals],[Obrót '[PLN/rok'] ]]</f>
        <v>#DIV/0!</v>
      </c>
      <c r="E19" s="281">
        <f>SUM(E17:E18)</f>
        <v>0</v>
      </c>
      <c r="F19" s="281">
        <f t="shared" ref="F19:J19" si="1">SUM(F17:F18)</f>
        <v>0</v>
      </c>
      <c r="G19" s="281" t="e">
        <f t="shared" si="1"/>
        <v>#DIV/0!</v>
      </c>
      <c r="H19" s="281">
        <f t="shared" si="1"/>
        <v>0</v>
      </c>
      <c r="I19" s="281">
        <f t="shared" si="1"/>
        <v>0</v>
      </c>
      <c r="J19" s="283">
        <f t="shared" si="1"/>
        <v>0</v>
      </c>
      <c r="K19" s="244"/>
      <c r="U19" s="70"/>
    </row>
    <row r="20" spans="1:23" s="68" customFormat="1">
      <c r="A20" s="253"/>
      <c r="B20" s="253"/>
      <c r="C20" s="253"/>
      <c r="D20" s="253"/>
      <c r="E20" s="254"/>
      <c r="F20" s="253"/>
      <c r="G20" s="253"/>
      <c r="H20" s="253"/>
      <c r="I20" s="253"/>
      <c r="J20" s="253"/>
      <c r="K20" s="244"/>
      <c r="U20" s="70"/>
    </row>
    <row r="21" spans="1:23" s="68" customFormat="1" ht="11.25" customHeight="1">
      <c r="A21" s="253"/>
      <c r="B21" s="256"/>
      <c r="C21" s="256"/>
      <c r="D21" s="253"/>
      <c r="E21" s="254"/>
      <c r="F21" s="253"/>
      <c r="G21" s="253"/>
      <c r="H21" s="253"/>
      <c r="I21" s="253"/>
      <c r="J21" s="253"/>
      <c r="K21" s="244"/>
      <c r="W21" s="70"/>
    </row>
    <row r="22" spans="1:23">
      <c r="A22" s="253"/>
      <c r="B22" s="256"/>
      <c r="C22" s="256"/>
      <c r="D22" s="253"/>
      <c r="E22" s="254"/>
      <c r="F22" s="253"/>
      <c r="G22" s="253"/>
      <c r="H22" s="253"/>
      <c r="I22" s="253"/>
      <c r="J22" s="253"/>
    </row>
    <row r="23" spans="1:23">
      <c r="A23" s="253"/>
      <c r="B23" s="256"/>
      <c r="C23" s="256"/>
      <c r="D23" s="253"/>
      <c r="E23" s="254"/>
      <c r="F23" s="253"/>
      <c r="G23" s="253"/>
      <c r="H23" s="253"/>
      <c r="I23" s="253"/>
      <c r="J23" s="253"/>
    </row>
    <row r="24" spans="1:23">
      <c r="A24" s="253"/>
      <c r="B24" s="256"/>
      <c r="C24" s="256"/>
      <c r="D24" s="253"/>
      <c r="E24" s="254"/>
      <c r="F24" s="253"/>
      <c r="G24" s="253"/>
      <c r="H24" s="253"/>
      <c r="I24" s="253"/>
      <c r="J24" s="253"/>
    </row>
    <row r="25" spans="1:23">
      <c r="A25" s="253"/>
      <c r="B25" s="256"/>
      <c r="C25" s="256"/>
      <c r="D25" s="253"/>
      <c r="E25" s="254"/>
      <c r="F25" s="253"/>
      <c r="G25" s="253"/>
      <c r="H25" s="253"/>
      <c r="I25" s="253"/>
      <c r="J25" s="253"/>
    </row>
    <row r="26" spans="1:23">
      <c r="A26" s="253"/>
      <c r="B26" s="256"/>
      <c r="C26" s="256"/>
      <c r="D26" s="253"/>
      <c r="E26" s="254"/>
      <c r="F26" s="253"/>
      <c r="G26" s="253"/>
      <c r="H26" s="253"/>
      <c r="I26" s="253"/>
      <c r="J26" s="253"/>
    </row>
    <row r="27" spans="1:23">
      <c r="A27" s="253"/>
      <c r="B27" s="256"/>
      <c r="C27" s="256"/>
      <c r="D27" s="253"/>
      <c r="E27" s="254"/>
      <c r="F27" s="253"/>
      <c r="G27" s="253"/>
      <c r="H27" s="253"/>
      <c r="I27" s="253"/>
      <c r="J27" s="253"/>
    </row>
    <row r="28" spans="1:23">
      <c r="A28" s="253"/>
      <c r="B28" s="256"/>
      <c r="C28" s="256"/>
      <c r="D28" s="253"/>
      <c r="E28" s="254"/>
      <c r="F28" s="253"/>
      <c r="G28" s="253"/>
      <c r="H28" s="253"/>
      <c r="I28" s="253"/>
      <c r="J28" s="253"/>
    </row>
    <row r="29" spans="1:23">
      <c r="A29" s="253"/>
      <c r="B29" s="256"/>
      <c r="C29" s="256"/>
      <c r="D29" s="253"/>
      <c r="E29" s="254"/>
      <c r="F29" s="253"/>
      <c r="G29" s="253"/>
      <c r="H29" s="253"/>
      <c r="I29" s="253"/>
      <c r="J29" s="253"/>
    </row>
    <row r="30" spans="1:23">
      <c r="A30" s="253"/>
      <c r="B30" s="256"/>
      <c r="C30" s="256"/>
      <c r="D30" s="253"/>
      <c r="E30" s="254"/>
      <c r="F30" s="253"/>
      <c r="G30" s="253"/>
      <c r="H30" s="253"/>
      <c r="I30" s="253"/>
      <c r="J30" s="253"/>
    </row>
    <row r="31" spans="1:23">
      <c r="A31" s="253"/>
      <c r="B31" s="257"/>
      <c r="C31" s="259"/>
      <c r="D31" s="253"/>
      <c r="E31" s="258"/>
      <c r="F31" s="253"/>
      <c r="G31" s="253"/>
      <c r="H31" s="253"/>
      <c r="I31" s="253"/>
      <c r="J31" s="253"/>
    </row>
    <row r="32" spans="1:23">
      <c r="A32" s="253"/>
      <c r="B32" s="253"/>
      <c r="C32" s="253"/>
      <c r="D32" s="253"/>
      <c r="E32" s="254"/>
      <c r="F32" s="253"/>
      <c r="G32" s="253"/>
      <c r="H32" s="253"/>
      <c r="I32" s="253"/>
      <c r="J32" s="253"/>
    </row>
  </sheetData>
  <mergeCells count="37">
    <mergeCell ref="A4:B4"/>
    <mergeCell ref="A6:B6"/>
    <mergeCell ref="A7:B7"/>
    <mergeCell ref="A8:B8"/>
    <mergeCell ref="A10:B10"/>
    <mergeCell ref="A5:B5"/>
    <mergeCell ref="A9:B9"/>
    <mergeCell ref="A2:B2"/>
    <mergeCell ref="C2:D2"/>
    <mergeCell ref="E2:F2"/>
    <mergeCell ref="G2:H2"/>
    <mergeCell ref="C3:D3"/>
    <mergeCell ref="E3:F3"/>
    <mergeCell ref="G3:H3"/>
    <mergeCell ref="A3:B3"/>
    <mergeCell ref="C4:D4"/>
    <mergeCell ref="E4:F4"/>
    <mergeCell ref="G4:H4"/>
    <mergeCell ref="C5:D5"/>
    <mergeCell ref="E5:F5"/>
    <mergeCell ref="G5:H5"/>
    <mergeCell ref="B13:J13"/>
    <mergeCell ref="C6:D6"/>
    <mergeCell ref="E6:F6"/>
    <mergeCell ref="G6:H6"/>
    <mergeCell ref="C7:D7"/>
    <mergeCell ref="E7:F7"/>
    <mergeCell ref="G7:H7"/>
    <mergeCell ref="C10:D10"/>
    <mergeCell ref="E10:F10"/>
    <mergeCell ref="G10:H10"/>
    <mergeCell ref="C8:D8"/>
    <mergeCell ref="E8:F8"/>
    <mergeCell ref="G8:H8"/>
    <mergeCell ref="C9:D9"/>
    <mergeCell ref="E9:F9"/>
    <mergeCell ref="G9:H9"/>
  </mergeCells>
  <dataValidations disablePrompts="1" count="2">
    <dataValidation errorStyle="information" allowBlank="1" showInputMessage="1" showErrorMessage="1" sqref="B458587:B458591 B524123:B524127 B589659:B589663 B655195:B655199 B720731:B720735 B786267:B786271 B851803:B851807 B917339:B917343 B982875:B982879 B393051:B393055 B65381:B65386 B130917:B130922 B196453:B196458 B261989:B261994 B327525:B327530 B393061:B393066 B458597:B458602 B524133:B524138 B589669:B589674 B655205:B655210 B720741:B720746 B786277:B786282 B851813:B851818 B917349:B917354 B982885:B982890 B130907:B130911 B65331:B65335 B130867:B130871 B196403:B196407 B261939:B261943 B327475:B327479 B393011:B393015 B458547:B458551 B524083:B524087 B589619:B589623 B655155:B655159 B720691:B720695 B786227:B786231 B851763:B851767 B917299:B917303 B982835:B982839 B196443:B196447 B65341:B65345 B130877:B130881 B196413:B196417 B261949:B261953 B327485:B327489 B393021:B393025 B458557:B458561 B524093:B524097 B589629:B589633 B655165:B655169 B720701:B720705 B786237:B786241 B851773:B851777 B917309:B917313 B982845:B982849 B261979:B261983 B65361:B65365 B130897:B130901 B196433:B196437 B261969:B261973 B327505:B327509 B393041:B393045 B458577:B458581 B524113:B524117 B589649:B589653 B655185:B655189 B720721:B720725 B786257:B786261 B851793:B851797 B917329:B917333 B982865:B982869 B65371:B65375 B65301:B65325 B130837:B130861 B196373:B196397 B261909:B261933 B327445:B327469 B392981:B393005 B458517:B458541 B524053:B524077 B589589:B589613 B655125:B655149 B720661:B720685 B786197:B786221 B851733:B851757 B917269:B917293 B982805:B982829 B327515:B327519"/>
    <dataValidation type="list" operator="equal" allowBlank="1" showInputMessage="1" showErrorMessage="1" sqref="B130887:B130891 B196423:B196427 B261959:B261963 B327495:B327499 B393031:B393035 B458567:B458571 B524103:B524107 B589639:B589643 B655175:B655179 B720711:B720715 B786247:B786251 B851783:B851787 B917319:B917323 B982855:B982859 B65351:B65355">
      <formula1>kododadu</formula1>
    </dataValidation>
  </dataValidations>
  <pageMargins left="0.36" right="0.24" top="0.35" bottom="0.37" header="0.2" footer="0.32"/>
  <pageSetup paperSize="9" scale="43" orientation="landscape" cellComments="asDisplayed" r:id="rId1"/>
  <headerFooter alignWithMargins="0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9">
    <tabColor theme="0" tint="-0.14999847407452621"/>
  </sheetPr>
  <dimension ref="A2:M52"/>
  <sheetViews>
    <sheetView topLeftCell="A16" zoomScale="55" zoomScaleNormal="55" workbookViewId="0">
      <selection activeCell="M31" sqref="M31"/>
    </sheetView>
  </sheetViews>
  <sheetFormatPr defaultColWidth="9.109375" defaultRowHeight="13.8"/>
  <cols>
    <col min="1" max="1" width="5" style="608" customWidth="1"/>
    <col min="2" max="2" width="24.44140625" style="608" customWidth="1"/>
    <col min="3" max="3" width="18" style="608" customWidth="1"/>
    <col min="4" max="4" width="17.109375" style="608" customWidth="1"/>
    <col min="5" max="5" width="23.109375" style="609" customWidth="1"/>
    <col min="6" max="6" width="18" style="608" customWidth="1"/>
    <col min="7" max="7" width="16.33203125" style="608" customWidth="1"/>
    <col min="8" max="8" width="22.6640625" style="608" customWidth="1"/>
    <col min="9" max="9" width="23" style="608" customWidth="1"/>
    <col min="10" max="10" width="22.6640625" style="608" customWidth="1"/>
    <col min="11" max="11" width="19.5546875" style="246" hidden="1" customWidth="1"/>
    <col min="12" max="12" width="9.109375" style="246"/>
    <col min="13" max="16384" width="9.109375" style="69"/>
  </cols>
  <sheetData>
    <row r="2" spans="1:13" s="68" customFormat="1">
      <c r="A2" s="705" t="str">
        <f>'Tabela informacyjna'!A1</f>
        <v>Klient</v>
      </c>
      <c r="B2" s="705"/>
      <c r="C2" s="706">
        <f>'Tabela informacyjna'!B1</f>
        <v>0</v>
      </c>
      <c r="D2" s="706"/>
      <c r="E2" s="705" t="str">
        <f>'Tabela informacyjna'!A11</f>
        <v>Data ofertowania</v>
      </c>
      <c r="F2" s="705"/>
      <c r="G2" s="707">
        <f>'Tabela informacyjna'!B11</f>
        <v>0</v>
      </c>
      <c r="H2" s="706"/>
      <c r="I2" s="608"/>
      <c r="J2" s="608"/>
      <c r="K2" s="244"/>
      <c r="L2" s="244"/>
    </row>
    <row r="3" spans="1:13" s="68" customFormat="1">
      <c r="A3" s="705" t="str">
        <f>'Tabela informacyjna'!A2</f>
        <v>Wytwórca odpadu</v>
      </c>
      <c r="B3" s="705"/>
      <c r="C3" s="706">
        <f>'Tabela informacyjna'!B2</f>
        <v>0</v>
      </c>
      <c r="D3" s="706"/>
      <c r="E3" s="705" t="str">
        <f>'Tabela informacyjna'!A12</f>
        <v>Termin Płatności</v>
      </c>
      <c r="F3" s="705"/>
      <c r="G3" s="706">
        <f>'Tabela informacyjna'!B12</f>
        <v>0</v>
      </c>
      <c r="H3" s="706"/>
      <c r="I3" s="609"/>
      <c r="J3" s="608"/>
      <c r="K3" s="244"/>
      <c r="L3" s="244"/>
    </row>
    <row r="4" spans="1:13" s="68" customFormat="1">
      <c r="A4" s="705" t="str">
        <f>'Tabela informacyjna'!A4</f>
        <v>Market</v>
      </c>
      <c r="B4" s="705"/>
      <c r="C4" s="706">
        <f>'Tabela informacyjna'!B4</f>
        <v>0</v>
      </c>
      <c r="D4" s="706"/>
      <c r="E4" s="705" t="str">
        <f>'Tabela informacyjna'!A13</f>
        <v>Długość Kontraktu</v>
      </c>
      <c r="F4" s="705"/>
      <c r="G4" s="706">
        <f>'Tabela informacyjna'!B13</f>
        <v>0</v>
      </c>
      <c r="H4" s="706"/>
      <c r="I4" s="608"/>
      <c r="J4" s="608"/>
      <c r="K4" s="244"/>
      <c r="L4" s="244"/>
    </row>
    <row r="5" spans="1:13" s="68" customFormat="1">
      <c r="A5" s="705" t="str">
        <f>'Tabela informacyjna'!A5</f>
        <v>Segment</v>
      </c>
      <c r="B5" s="705"/>
      <c r="C5" s="706">
        <f>'Tabela informacyjna'!B5</f>
        <v>0</v>
      </c>
      <c r="D5" s="706"/>
      <c r="E5" s="705" t="str">
        <f>'Tabela informacyjna'!A14</f>
        <v>Data utworzenia</v>
      </c>
      <c r="F5" s="705"/>
      <c r="G5" s="706">
        <f>'Tabela informacyjna'!B14</f>
        <v>0</v>
      </c>
      <c r="H5" s="706"/>
      <c r="I5" s="608"/>
      <c r="J5" s="608"/>
      <c r="K5" s="244"/>
      <c r="L5" s="244"/>
    </row>
    <row r="6" spans="1:13" s="68" customFormat="1">
      <c r="A6" s="705" t="str">
        <f>'Tabela informacyjna'!A6</f>
        <v>Sub-segment</v>
      </c>
      <c r="B6" s="705"/>
      <c r="C6" s="706">
        <f>'Tabela informacyjna'!B6</f>
        <v>0</v>
      </c>
      <c r="D6" s="706"/>
      <c r="E6" s="705" t="str">
        <f>'Tabela informacyjna'!A15</f>
        <v>Opracował kalkulację</v>
      </c>
      <c r="F6" s="705"/>
      <c r="G6" s="706">
        <f>'Tabela informacyjna'!B15</f>
        <v>0</v>
      </c>
      <c r="H6" s="706"/>
      <c r="I6" s="608"/>
      <c r="J6" s="703" t="s">
        <v>2363</v>
      </c>
      <c r="K6" s="244"/>
      <c r="L6" s="244"/>
    </row>
    <row r="7" spans="1:13" s="68" customFormat="1">
      <c r="A7" s="705" t="str">
        <f>'Tabela informacyjna'!A7</f>
        <v>Sub-sub-segment</v>
      </c>
      <c r="B7" s="705"/>
      <c r="C7" s="706">
        <f>'Tabela informacyjna'!B7</f>
        <v>0</v>
      </c>
      <c r="D7" s="706"/>
      <c r="E7" s="705" t="str">
        <f>'Tabela informacyjna'!A16</f>
        <v>Nr zapytania</v>
      </c>
      <c r="F7" s="705"/>
      <c r="G7" s="706">
        <f>'Tabela informacyjna'!B16</f>
        <v>0</v>
      </c>
      <c r="H7" s="706"/>
      <c r="I7" s="608"/>
      <c r="J7" s="703"/>
      <c r="K7" s="244"/>
      <c r="L7" s="244"/>
    </row>
    <row r="8" spans="1:13" s="68" customFormat="1">
      <c r="A8" s="705" t="str">
        <f>'Tabela informacyjna'!A8</f>
        <v>NIP</v>
      </c>
      <c r="B8" s="705"/>
      <c r="C8" s="706">
        <f>'Tabela informacyjna'!B8</f>
        <v>0</v>
      </c>
      <c r="D8" s="706"/>
      <c r="E8" s="705" t="str">
        <f>'Tabela informacyjna'!A17</f>
        <v>Lider wyceny</v>
      </c>
      <c r="F8" s="705"/>
      <c r="G8" s="706">
        <f>'Tabela informacyjna'!B17</f>
        <v>0</v>
      </c>
      <c r="H8" s="706"/>
      <c r="I8" s="608"/>
      <c r="J8" s="704">
        <v>1</v>
      </c>
      <c r="K8" s="244"/>
      <c r="L8" s="244"/>
    </row>
    <row r="9" spans="1:13" s="68" customFormat="1">
      <c r="A9" s="705" t="str">
        <f>'Tabela informacyjna'!A9</f>
        <v>Nazwisko handlowca</v>
      </c>
      <c r="B9" s="705"/>
      <c r="C9" s="706">
        <f>'Tabela informacyjna'!B9</f>
        <v>0</v>
      </c>
      <c r="D9" s="706"/>
      <c r="E9" s="705" t="str">
        <f>'Tabela informacyjna'!A18</f>
        <v>Ostatnio edytowany przez</v>
      </c>
      <c r="F9" s="705"/>
      <c r="G9" s="706" t="str">
        <f>'Tabela informacyjna'!B18</f>
        <v>kbronkow</v>
      </c>
      <c r="H9" s="706"/>
      <c r="I9" s="608"/>
      <c r="J9" s="704"/>
      <c r="K9" s="244"/>
      <c r="L9" s="244"/>
    </row>
    <row r="10" spans="1:13" s="68" customFormat="1">
      <c r="A10" s="705" t="str">
        <f>'Tabela informacyjna'!A10</f>
        <v>Przetarg/oferta handlowa</v>
      </c>
      <c r="B10" s="705"/>
      <c r="C10" s="706">
        <f>'Tabela informacyjna'!B10</f>
        <v>0</v>
      </c>
      <c r="D10" s="706"/>
      <c r="E10" s="705" t="str">
        <f>'Tabela informacyjna'!A19</f>
        <v>Data ostatniej edycji</v>
      </c>
      <c r="F10" s="705"/>
      <c r="G10" s="707">
        <f>'Tabela informacyjna'!B19</f>
        <v>43196.457071759258</v>
      </c>
      <c r="H10" s="707"/>
      <c r="I10" s="608"/>
      <c r="J10" s="704"/>
      <c r="K10" s="244"/>
      <c r="L10" s="244"/>
    </row>
    <row r="11" spans="1:13" s="68" customFormat="1">
      <c r="A11" s="608"/>
      <c r="B11" s="608"/>
      <c r="C11" s="608"/>
      <c r="D11" s="610"/>
      <c r="E11" s="609"/>
      <c r="F11" s="608"/>
      <c r="G11" s="608"/>
      <c r="H11" s="608"/>
      <c r="I11" s="608"/>
      <c r="J11" s="611"/>
      <c r="K11" s="244"/>
      <c r="L11" s="244"/>
    </row>
    <row r="12" spans="1:13" s="68" customFormat="1">
      <c r="A12" s="608"/>
      <c r="B12" s="708" t="s">
        <v>2544</v>
      </c>
      <c r="C12" s="709"/>
      <c r="D12" s="709"/>
      <c r="E12" s="709"/>
      <c r="F12" s="709"/>
      <c r="G12" s="709"/>
      <c r="H12" s="709"/>
      <c r="I12" s="709"/>
      <c r="J12" s="710"/>
      <c r="K12" s="244"/>
      <c r="L12" s="244"/>
    </row>
    <row r="13" spans="1:13" s="68" customFormat="1" ht="27.6">
      <c r="A13" s="608"/>
      <c r="B13" s="612" t="s">
        <v>126</v>
      </c>
      <c r="C13" s="613" t="s">
        <v>2188</v>
      </c>
      <c r="D13" s="613" t="s">
        <v>2256</v>
      </c>
      <c r="E13" s="613" t="s">
        <v>2378</v>
      </c>
      <c r="F13" s="613" t="s">
        <v>2186</v>
      </c>
      <c r="G13" s="613" t="s">
        <v>2365</v>
      </c>
      <c r="H13" s="614" t="s">
        <v>2546</v>
      </c>
      <c r="I13" s="614" t="s">
        <v>2547</v>
      </c>
      <c r="J13" s="615" t="s">
        <v>2548</v>
      </c>
      <c r="K13" s="649" t="s">
        <v>2690</v>
      </c>
      <c r="L13" s="244"/>
      <c r="M13" s="244"/>
    </row>
    <row r="14" spans="1:13" s="68" customFormat="1">
      <c r="A14" s="608"/>
      <c r="B14" s="616" t="str">
        <f>KSO_odpady!$CZ$3</f>
        <v>Odpady Przemysłowe</v>
      </c>
      <c r="C14" s="617">
        <f ca="1">SUMIFS(INDIRECT(Podsumowanie_SP[[#This Row],[Nazwa Tabeli]]&amp;"[Szacunkowa ilość odpadu (Mg/rok)]"),INDIRECT(Podsumowanie_SP[[#This Row],[Nazwa Tabeli]]&amp;"[Rodzaj odpadu Spółki]"),Podsumowanie_SP[[#This Row],[Podsumowanie]])*$J$8</f>
        <v>0</v>
      </c>
      <c r="D14" s="618" t="str">
        <f ca="1">IFERROR(Podsumowanie_SP[[#This Row],[Zysk '[PLN/kontrakt']]]/Podsumowanie_SP[[#This Row],[Obrót '[PLN/kontrakt']]],"")</f>
        <v/>
      </c>
      <c r="E14" s="617">
        <f ca="1">(SUMIFS(INDIRECT(Podsumowanie_SP[[#This Row],[Nazwa Tabeli]]&amp;"[Obrót Spółki 
(odpady)
 (PLN/rok)]"),INDIRECT(Podsumowanie_SP[[#This Row],[Nazwa Tabeli]]&amp;"[Rodzaj odpadu Spółki]"),Podsumowanie_SP[[#This Row],[Podsumowanie]])+SUMIFS(INDIRECT(Podsumowanie_SP[[#This Row],[Nazwa Tabeli]]&amp;"[Obrót Spółki 
(transport)
 (PLN/rok)]"),INDIRECT(Podsumowanie_SP[[#This Row],[Nazwa Tabeli]]&amp;"[Rodzaj odpadu Spółki]"),Podsumowanie_SP[[#This Row],[Podsumowanie]]))*$J$8</f>
        <v>0</v>
      </c>
      <c r="F14" s="617">
        <f ca="1">(SUMIFS(INDIRECT(Podsumowanie_SP[[#This Row],[Nazwa Tabeli]]&amp;"[Zysk Spółki
(odpady)
 (PLN/rok)]"),INDIRECT(Podsumowanie_SP[[#This Row],[Nazwa Tabeli]]&amp;"[Rodzaj odpadu Spółki]"),Podsumowanie_SP[[#This Row],[Podsumowanie]])+SUMIFS(INDIRECT(Podsumowanie_SP[[#This Row],[Nazwa Tabeli]]&amp;"[Zysk Spółki
(transport)
 (PLN/rok)]"),INDIRECT(Podsumowanie_SP[[#This Row],[Nazwa Tabeli]]&amp;"[Rodzaj odpadu Spółki]"),Podsumowanie_SP[[#This Row],[Podsumowanie]]))*$J$8</f>
        <v>0</v>
      </c>
      <c r="G14" s="617" t="str">
        <f ca="1">IFERROR(Podsumowanie_SP[[#This Row],[Zysk '[PLN/kontrakt']]]/Podsumowanie_SP[[#This Row],[Ilość odpadów 
'[Mg/kontrakt']]],"")</f>
        <v/>
      </c>
      <c r="H14" s="617">
        <f ca="1">(SUMIFS(INDIRECT(Podsumowanie_SP[[#This Row],[Nazwa Tabeli]]&amp;"[Spółka płaci SUEZ Polska (PLN/rok)]"),INDIRECT(Podsumowanie_SP[[#This Row],[Nazwa Tabeli]]&amp;"[Rodzaj odpadu Spółki]"),Podsumowanie_SP[[#This Row],[Podsumowanie]]))*$J$8</f>
        <v>0</v>
      </c>
      <c r="I14" s="617">
        <f ca="1">(SUMIFS(INDIRECT(Podsumowanie_SP[[#This Row],[Nazwa Tabeli]]&amp;"[SUEZ Polska płaci Spółce (PLN/rok)]"),INDIRECT(Podsumowanie_SP[[#This Row],[Nazwa Tabeli]]&amp;"[Rodzaj odpadu Spółki]"),Podsumowanie_SP[[#This Row],[Podsumowanie]]))*$J$8</f>
        <v>0</v>
      </c>
      <c r="J14" s="619">
        <f ca="1">Podsumowanie_SP[[#This Row],[SPÓŁKA płaci SUEZ POLSKA '[PLN/kontrakt']]]-Podsumowanie_SP[[#This Row],[SUEZ POLSKA płaci SPÓŁCE '[PLN/kontrakt']]]</f>
        <v>0</v>
      </c>
      <c r="K14" s="619" t="s">
        <v>2691</v>
      </c>
      <c r="L14" s="244"/>
      <c r="M14" s="244"/>
    </row>
    <row r="15" spans="1:13" s="68" customFormat="1">
      <c r="A15" s="608"/>
      <c r="B15" s="620" t="str">
        <f>KSO_odpady!$CZ$2</f>
        <v>Surowce</v>
      </c>
      <c r="C15" s="617">
        <f ca="1">SUMIFS(INDIRECT(Podsumowanie_SP[[#This Row],[Nazwa Tabeli]]&amp;"[Szacunkowa ilość odpadu (Mg/rok)]"),INDIRECT(Podsumowanie_SP[[#This Row],[Nazwa Tabeli]]&amp;"[Rodzaj odpadu Spółki]"),Podsumowanie_SP[[#This Row],[Podsumowanie]])*$J$8</f>
        <v>0</v>
      </c>
      <c r="D15" s="622" t="str">
        <f ca="1">IFERROR(Podsumowanie_SP[[#This Row],[Zysk '[PLN/kontrakt']]]/Podsumowanie_SP[[#This Row],[Obrót '[PLN/kontrakt']]],"")</f>
        <v/>
      </c>
      <c r="E15" s="617">
        <f ca="1">(SUMIFS(INDIRECT(Podsumowanie_SP[[#This Row],[Nazwa Tabeli]]&amp;"[Obrót Spółki 
(odpady)
 (PLN/rok)]"),INDIRECT(Podsumowanie_SP[[#This Row],[Nazwa Tabeli]]&amp;"[Rodzaj odpadu Spółki]"),Podsumowanie_SP[[#This Row],[Podsumowanie]])+SUMIFS(INDIRECT(Podsumowanie_SP[[#This Row],[Nazwa Tabeli]]&amp;"[Obrót Spółki 
(transport)
 (PLN/rok)]"),INDIRECT(Podsumowanie_SP[[#This Row],[Nazwa Tabeli]]&amp;"[Rodzaj odpadu Spółki]"),Podsumowanie_SP[[#This Row],[Podsumowanie]]))*$J$8</f>
        <v>0</v>
      </c>
      <c r="F15" s="617">
        <f ca="1">(SUMIFS(INDIRECT(Podsumowanie_SP[[#This Row],[Nazwa Tabeli]]&amp;"[Zysk Spółki
(odpady)
 (PLN/rok)]"),INDIRECT(Podsumowanie_SP[[#This Row],[Nazwa Tabeli]]&amp;"[Rodzaj odpadu Spółki]"),Podsumowanie_SP[[#This Row],[Podsumowanie]])+SUMIFS(INDIRECT(Podsumowanie_SP[[#This Row],[Nazwa Tabeli]]&amp;"[Zysk Spółki
(transport)
 (PLN/rok)]"),INDIRECT(Podsumowanie_SP[[#This Row],[Nazwa Tabeli]]&amp;"[Rodzaj odpadu Spółki]"),Podsumowanie_SP[[#This Row],[Podsumowanie]]))*$J$8</f>
        <v>0</v>
      </c>
      <c r="G15" s="621" t="str">
        <f ca="1">IFERROR(Podsumowanie_SP[[#This Row],[Zysk '[PLN/kontrakt']]]/Podsumowanie_SP[[#This Row],[Ilość odpadów 
'[Mg/kontrakt']]],"")</f>
        <v/>
      </c>
      <c r="H15" s="617">
        <f ca="1">(SUMIFS(INDIRECT(Podsumowanie_SP[[#This Row],[Nazwa Tabeli]]&amp;"[Spółka płaci SUEZ Polska (PLN/rok)]"),INDIRECT(Podsumowanie_SP[[#This Row],[Nazwa Tabeli]]&amp;"[Rodzaj odpadu Spółki]"),Podsumowanie_SP[[#This Row],[Podsumowanie]]))*$J$8</f>
        <v>0</v>
      </c>
      <c r="I15" s="617">
        <f ca="1">(SUMIFS(INDIRECT(Podsumowanie_SP[[#This Row],[Nazwa Tabeli]]&amp;"[SUEZ Polska płaci Spółce (PLN/rok)]"),INDIRECT(Podsumowanie_SP[[#This Row],[Nazwa Tabeli]]&amp;"[Rodzaj odpadu Spółki]"),Podsumowanie_SP[[#This Row],[Podsumowanie]]))*$J$8</f>
        <v>0</v>
      </c>
      <c r="J15" s="623">
        <f ca="1">Podsumowanie_SP[[#This Row],[SPÓŁKA płaci SUEZ POLSKA '[PLN/kontrakt']]]-Podsumowanie_SP[[#This Row],[SUEZ POLSKA płaci SPÓŁCE '[PLN/kontrakt']]]</f>
        <v>0</v>
      </c>
      <c r="K15" s="619" t="s">
        <v>2691</v>
      </c>
      <c r="L15" s="244"/>
      <c r="M15" s="244"/>
    </row>
    <row r="16" spans="1:13" s="68" customFormat="1">
      <c r="A16" s="608"/>
      <c r="B16" s="624" t="s">
        <v>2248</v>
      </c>
      <c r="C16" s="625">
        <f ca="1">SUM(C14:C15)</f>
        <v>0</v>
      </c>
      <c r="D16" s="626">
        <f ca="1">IFERROR(Podsumowanie_SP[[#This Row],[Zysk '[PLN/kontrakt']]]/Podsumowanie_SP[[#This Row],[Obrót '[PLN/kontrakt']]],0)</f>
        <v>0</v>
      </c>
      <c r="E16" s="625">
        <f ca="1">SUM(E14:E15)</f>
        <v>0</v>
      </c>
      <c r="F16" s="625">
        <f t="shared" ref="F16:J16" ca="1" si="0">SUM(F14:F15)</f>
        <v>0</v>
      </c>
      <c r="G16" s="625" t="e">
        <f ca="1">Podsumowanie_SP[[#This Row],[Zysk '[PLN/kontrakt']]]/Podsumowanie_SP[[#This Row],[Ilość odpadów 
'[Mg/kontrakt']]]</f>
        <v>#DIV/0!</v>
      </c>
      <c r="H16" s="625">
        <f t="shared" ca="1" si="0"/>
        <v>0</v>
      </c>
      <c r="I16" s="625">
        <f t="shared" ca="1" si="0"/>
        <v>0</v>
      </c>
      <c r="J16" s="627">
        <f t="shared" ca="1" si="0"/>
        <v>0</v>
      </c>
      <c r="K16" s="627"/>
      <c r="L16" s="244"/>
      <c r="M16" s="244"/>
    </row>
    <row r="17" spans="1:13" s="68" customFormat="1">
      <c r="A17" s="608"/>
      <c r="B17" s="608"/>
      <c r="C17" s="608"/>
      <c r="D17" s="610"/>
      <c r="E17" s="609"/>
      <c r="F17" s="608"/>
      <c r="G17" s="608"/>
      <c r="H17" s="608"/>
      <c r="I17" s="608"/>
      <c r="J17" s="628"/>
      <c r="K17" s="244"/>
      <c r="L17" s="244"/>
    </row>
    <row r="18" spans="1:13" s="68" customFormat="1">
      <c r="A18" s="608"/>
      <c r="B18" s="608"/>
      <c r="C18" s="608"/>
      <c r="D18" s="610"/>
      <c r="E18" s="609"/>
      <c r="F18" s="608"/>
      <c r="G18" s="608"/>
      <c r="H18" s="608"/>
      <c r="I18" s="608"/>
      <c r="J18" s="628"/>
      <c r="K18" s="244"/>
      <c r="L18" s="244"/>
    </row>
    <row r="19" spans="1:13" s="68" customFormat="1">
      <c r="A19" s="608"/>
      <c r="B19" s="708" t="s">
        <v>2545</v>
      </c>
      <c r="C19" s="709"/>
      <c r="D19" s="709"/>
      <c r="E19" s="709"/>
      <c r="F19" s="709"/>
      <c r="G19" s="709"/>
      <c r="H19" s="709"/>
      <c r="I19" s="709"/>
      <c r="J19" s="710"/>
      <c r="K19" s="244"/>
      <c r="L19" s="244"/>
    </row>
    <row r="20" spans="1:13" s="68" customFormat="1" ht="27.6">
      <c r="A20" s="608"/>
      <c r="B20" s="612" t="s">
        <v>126</v>
      </c>
      <c r="C20" s="613" t="s">
        <v>2188</v>
      </c>
      <c r="D20" s="613" t="s">
        <v>2256</v>
      </c>
      <c r="E20" s="613" t="s">
        <v>2378</v>
      </c>
      <c r="F20" s="613" t="s">
        <v>2186</v>
      </c>
      <c r="G20" s="613" t="s">
        <v>2365</v>
      </c>
      <c r="H20" s="614" t="s">
        <v>2459</v>
      </c>
      <c r="I20" s="614" t="s">
        <v>2187</v>
      </c>
      <c r="J20" s="615" t="s">
        <v>2190</v>
      </c>
      <c r="K20" s="649" t="s">
        <v>2690</v>
      </c>
      <c r="L20" s="244"/>
      <c r="M20" s="244"/>
    </row>
    <row r="21" spans="1:13" s="68" customFormat="1" ht="14.4">
      <c r="A21" s="608"/>
      <c r="B21" s="652" t="str">
        <f>KSO_odpady!$CZ$3</f>
        <v>Odpady Przemysłowe</v>
      </c>
      <c r="C21" s="621">
        <f ca="1">SUMIFS(INDIRECT(Podsumowanie_POL[[#This Row],[Nazwa Tabeli]]&amp;"[Szacunkowa ilość odpadu (Mg/rok)]"),INDIRECT(Podsumowanie_POL[[#This Row],[Nazwa Tabeli]]&amp;"[Rodzaj odpadu]"),Podsumowanie_POL[[#This Row],[Podsumowanie]])*$J$8</f>
        <v>0</v>
      </c>
      <c r="D21" s="618" t="str">
        <f ca="1">IFERROR(Podsumowanie_POL[[#This Row],[Zysk '[PLN/kontrakt']]]/Podsumowanie_POL[[#This Row],[Obrót '[PLN/kontrakt']]],"")</f>
        <v/>
      </c>
      <c r="E21" s="617">
        <f ca="1">SUMIFS(INDIRECT(Podsumowanie_POL[[#This Row],[Nazwa Tabeli]]&amp;"[Obrót (PLN/rok) ]"),INDIRECT(Podsumowanie_POL[[#This Row],[Nazwa Tabeli]]&amp;"[Rodzaj odpadu]"),Podsumowanie_POL[[#This Row],[Podsumowanie]])*$J$8</f>
        <v>0</v>
      </c>
      <c r="F21" s="617">
        <f ca="1">SUMIFS(INDIRECT(Podsumowanie_POL[[#This Row],[Nazwa Tabeli]]&amp;"[Zysk (PLN/rok)]"),INDIRECT(Podsumowanie_POL[[#This Row],[Nazwa Tabeli]]&amp;"[Rodzaj odpadu]"),Podsumowanie_POL[[#This Row],[Podsumowanie]])*$J$8</f>
        <v>0</v>
      </c>
      <c r="G21" s="617" t="str">
        <f ca="1">IFERROR(Podsumowanie_POL[[#This Row],[Zysk '[PLN/kontrakt']]]/Podsumowanie_POL[[#This Row],[Ilość odpadów 
'[Mg/kontrakt']]],"")</f>
        <v/>
      </c>
      <c r="H21" s="617">
        <f ca="1">SUMIFS(INDIRECT(Podsumowanie_POL[[#This Row],[Nazwa Tabeli]]&amp;"[SUEZ płaci Klientowi (PLN/rok)]"),INDIRECT(Podsumowanie_POL[[#This Row],[Nazwa Tabeli]]&amp;"[Rodzaj odpadu]"),Podsumowanie_POL[[#This Row],[Podsumowanie]])*$J$8</f>
        <v>0</v>
      </c>
      <c r="I21" s="617">
        <f ca="1">SUMIFS(INDIRECT(Podsumowanie_POL[[#This Row],[Nazwa Tabeli]]&amp;"[Klient płaci SUEZ (PLN/rok)]"),INDIRECT(Podsumowanie_POL[[#This Row],[Nazwa Tabeli]]&amp;"[Rodzaj odpadu]"),Podsumowanie_POL[[#This Row],[Podsumowanie]])*$J$8</f>
        <v>0</v>
      </c>
      <c r="J21" s="619">
        <f ca="1">Podsumowanie_POL[[#This Row],[SUEZ płaci Klientowi '[PLN/kontrakt']]]-Podsumowanie_POL[[#This Row],[Klient płaci SUEZ '[PLN/kontrakt']]]</f>
        <v>0</v>
      </c>
      <c r="K21" s="619" t="s">
        <v>2691</v>
      </c>
      <c r="L21" s="244"/>
      <c r="M21" s="244"/>
    </row>
    <row r="22" spans="1:13" s="68" customFormat="1" ht="14.4">
      <c r="A22" s="608"/>
      <c r="B22" s="653" t="str">
        <f>KSO_odpady!$CZ$2</f>
        <v>Surowce</v>
      </c>
      <c r="C22" s="621">
        <f ca="1">SUMIFS(INDIRECT(Podsumowanie_POL[[#This Row],[Nazwa Tabeli]]&amp;"[Szacunkowa ilość odpadu (Mg/rok)]"),INDIRECT(Podsumowanie_POL[[#This Row],[Nazwa Tabeli]]&amp;"[Rodzaj odpadu]"),Podsumowanie_POL[[#This Row],[Podsumowanie]])*$J$8</f>
        <v>0</v>
      </c>
      <c r="D22" s="622" t="str">
        <f ca="1">IFERROR(Podsumowanie_POL[[#This Row],[Zysk '[PLN/kontrakt']]]/Podsumowanie_POL[[#This Row],[Obrót '[PLN/kontrakt']]],"")</f>
        <v/>
      </c>
      <c r="E22" s="617">
        <f ca="1">SUMIFS(INDIRECT(Podsumowanie_POL[[#This Row],[Nazwa Tabeli]]&amp;"[Obrót (PLN/rok) ]"),INDIRECT(Podsumowanie_POL[[#This Row],[Nazwa Tabeli]]&amp;"[Rodzaj odpadu]"),Podsumowanie_POL[[#This Row],[Podsumowanie]])*$J$8</f>
        <v>0</v>
      </c>
      <c r="F22" s="617">
        <f ca="1">SUMIFS(INDIRECT(Podsumowanie_POL[[#This Row],[Nazwa Tabeli]]&amp;"[Zysk (PLN/rok)]"),INDIRECT(Podsumowanie_POL[[#This Row],[Nazwa Tabeli]]&amp;"[Rodzaj odpadu]"),Podsumowanie_POL[[#This Row],[Podsumowanie]])*$J$8</f>
        <v>0</v>
      </c>
      <c r="G22" s="621" t="str">
        <f ca="1">IFERROR(Podsumowanie_POL[[#This Row],[Zysk '[PLN/kontrakt']]]/Podsumowanie_POL[[#This Row],[Ilość odpadów 
'[Mg/kontrakt']]],"")</f>
        <v/>
      </c>
      <c r="H22" s="617">
        <f ca="1">SUMIFS(INDIRECT(Podsumowanie_POL[[#This Row],[Nazwa Tabeli]]&amp;"[SUEZ płaci Klientowi (PLN/rok)]"),INDIRECT(Podsumowanie_POL[[#This Row],[Nazwa Tabeli]]&amp;"[Rodzaj odpadu]"),Podsumowanie_POL[[#This Row],[Podsumowanie]])*$J$8</f>
        <v>0</v>
      </c>
      <c r="I22" s="617">
        <f ca="1">SUMIFS(INDIRECT(Podsumowanie_POL[[#This Row],[Nazwa Tabeli]]&amp;"[Klient płaci SUEZ (PLN/rok)]"),INDIRECT(Podsumowanie_POL[[#This Row],[Nazwa Tabeli]]&amp;"[Rodzaj odpadu]"),Podsumowanie_POL[[#This Row],[Podsumowanie]])*$J$8</f>
        <v>0</v>
      </c>
      <c r="J22" s="623">
        <f ca="1">Podsumowanie_POL[[#This Row],[SUEZ płaci Klientowi '[PLN/kontrakt']]]-Podsumowanie_POL[[#This Row],[Klient płaci SUEZ '[PLN/kontrakt']]]</f>
        <v>0</v>
      </c>
      <c r="K22" s="619" t="s">
        <v>2691</v>
      </c>
      <c r="L22" s="244"/>
      <c r="M22" s="244"/>
    </row>
    <row r="23" spans="1:13" s="68" customFormat="1">
      <c r="A23" s="608"/>
      <c r="B23" s="624" t="s">
        <v>2248</v>
      </c>
      <c r="C23" s="625">
        <f ca="1">SUM(C21:C22)</f>
        <v>0</v>
      </c>
      <c r="D23" s="626">
        <f ca="1">IFERROR(Podsumowanie_POL[[#This Row],[Zysk '[PLN/kontrakt']]]/Podsumowanie_POL[[#This Row],[Obrót '[PLN/kontrakt']]],0)</f>
        <v>0</v>
      </c>
      <c r="E23" s="625">
        <f ca="1">SUM(E21:E22)</f>
        <v>0</v>
      </c>
      <c r="F23" s="625">
        <f ca="1">SUM(F21:F22)</f>
        <v>0</v>
      </c>
      <c r="G23" s="625" t="e">
        <f ca="1">Podsumowanie_POL[[#This Row],[Zysk '[PLN/kontrakt']]]/Podsumowanie_POL[[#This Row],[Ilość odpadów 
'[Mg/kontrakt']]]</f>
        <v>#DIV/0!</v>
      </c>
      <c r="H23" s="625">
        <f ca="1">SUM(H21:H22)</f>
        <v>0</v>
      </c>
      <c r="I23" s="625">
        <f ca="1">SUM(I21:I22)</f>
        <v>0</v>
      </c>
      <c r="J23" s="627">
        <f ca="1">SUM(J21:J22)</f>
        <v>0</v>
      </c>
      <c r="K23" s="619"/>
      <c r="L23" s="244"/>
      <c r="M23" s="244"/>
    </row>
    <row r="24" spans="1:13" s="68" customFormat="1" ht="14.4">
      <c r="A24" s="608"/>
      <c r="B24" s="654" t="s">
        <v>2694</v>
      </c>
      <c r="C24" s="621">
        <v>0</v>
      </c>
      <c r="D24" s="622" t="str">
        <f ca="1">IFERROR(Podsumowanie_POL[[#This Row],[Zysk '[PLN/kontrakt']]]/Podsumowanie_POL[[#This Row],[Obrót '[PLN/kontrakt']]],"")</f>
        <v/>
      </c>
      <c r="E24" s="621">
        <f ca="1">INDIRECT(Podsumowanie_POL[[#This Row],[Nazwa Tabeli]]&amp;"[[#Sumy];[Obrót 
'[zł/rok']]]")*$J$8</f>
        <v>0</v>
      </c>
      <c r="F24" s="621">
        <f ca="1">INDIRECT(Podsumowanie_POL[[#This Row],[Nazwa Tabeli]]&amp;"[[#Sumy];[Zysk
 '[zł/rok']]]")*$J$8</f>
        <v>0</v>
      </c>
      <c r="G24" s="621">
        <v>0</v>
      </c>
      <c r="H24" s="621">
        <v>0</v>
      </c>
      <c r="I24" s="621">
        <f ca="1">Podsumowanie_POL[[#This Row],[Obrót '[PLN/kontrakt']]]</f>
        <v>0</v>
      </c>
      <c r="J24" s="623">
        <f ca="1">Podsumowanie_POL[[#This Row],[SUEZ płaci Klientowi '[PLN/kontrakt']]]-Podsumowanie_POL[[#This Row],[Klient płaci SUEZ '[PLN/kontrakt']]]</f>
        <v>0</v>
      </c>
      <c r="K24" s="619" t="s">
        <v>2692</v>
      </c>
      <c r="L24" s="244"/>
      <c r="M24" s="244"/>
    </row>
    <row r="25" spans="1:13" s="68" customFormat="1" ht="14.4">
      <c r="A25" s="608"/>
      <c r="B25" s="655" t="s">
        <v>2695</v>
      </c>
      <c r="C25" s="621">
        <v>0</v>
      </c>
      <c r="D25" s="622" t="str">
        <f ca="1">IFERROR(Podsumowanie_POL[[#This Row],[Zysk '[PLN/kontrakt']]]/Podsumowanie_POL[[#This Row],[Obrót '[PLN/kontrakt']]],"")</f>
        <v/>
      </c>
      <c r="E25" s="621">
        <f ca="1">INDIRECT(Podsumowanie_POL[[#This Row],[Nazwa Tabeli]]&amp;"[[#Sumy];[Obrót 
'[zł/rok']]]")*$J$8</f>
        <v>0</v>
      </c>
      <c r="F25" s="621">
        <f ca="1">INDIRECT(Podsumowanie_POL[[#This Row],[Nazwa Tabeli]]&amp;"[[#Sumy];[Zysk
 '[zł/rok']]]")*$J$8</f>
        <v>0</v>
      </c>
      <c r="G25" s="621">
        <v>0</v>
      </c>
      <c r="H25" s="621">
        <v>0</v>
      </c>
      <c r="I25" s="621">
        <f ca="1">Podsumowanie_POL[[#This Row],[Obrót '[PLN/kontrakt']]]</f>
        <v>0</v>
      </c>
      <c r="J25" s="623">
        <f ca="1">Podsumowanie_POL[[#This Row],[SUEZ płaci Klientowi '[PLN/kontrakt']]]-Podsumowanie_POL[[#This Row],[Klient płaci SUEZ '[PLN/kontrakt']]]</f>
        <v>0</v>
      </c>
      <c r="K25" s="619" t="s">
        <v>2693</v>
      </c>
      <c r="L25" s="244"/>
      <c r="M25" s="244"/>
    </row>
    <row r="26" spans="1:13" s="68" customFormat="1">
      <c r="A26" s="608"/>
      <c r="B26" s="624" t="s">
        <v>2696</v>
      </c>
      <c r="C26" s="625">
        <v>0</v>
      </c>
      <c r="D26" s="626" t="str">
        <f ca="1">IFERROR(Podsumowanie_POL[[#This Row],[Zysk '[PLN/kontrakt']]]/Podsumowanie_POL[[#This Row],[Obrót '[PLN/kontrakt']]],"")</f>
        <v/>
      </c>
      <c r="E26" s="625">
        <f ca="1">SUM(E24:E25)</f>
        <v>0</v>
      </c>
      <c r="F26" s="625">
        <f t="shared" ref="F26:J26" ca="1" si="1">SUM(F24:F25)</f>
        <v>0</v>
      </c>
      <c r="G26" s="625">
        <v>0</v>
      </c>
      <c r="H26" s="625">
        <v>0</v>
      </c>
      <c r="I26" s="625">
        <f t="shared" ca="1" si="1"/>
        <v>0</v>
      </c>
      <c r="J26" s="625">
        <f t="shared" ca="1" si="1"/>
        <v>0</v>
      </c>
      <c r="K26" s="619"/>
      <c r="L26" s="244"/>
      <c r="M26" s="244"/>
    </row>
    <row r="27" spans="1:13" s="68" customFormat="1">
      <c r="A27" s="608"/>
      <c r="B27" s="629" t="s">
        <v>2176</v>
      </c>
      <c r="C27" s="630">
        <f ca="1">SUM(C23,C26)</f>
        <v>0</v>
      </c>
      <c r="D27" s="631" t="e">
        <f ca="1">Podsumowanie_POL[[#Totals],[Zysk '[PLN/kontrakt']]]/Podsumowanie_POL[[#Totals],[Obrót '[PLN/kontrakt']]]</f>
        <v>#DIV/0!</v>
      </c>
      <c r="E27" s="630">
        <f ca="1">SUM(E23,E26)</f>
        <v>0</v>
      </c>
      <c r="F27" s="630">
        <f ca="1">SUM(F23,F26)</f>
        <v>0</v>
      </c>
      <c r="G27" s="630" t="e">
        <f ca="1">G26+G23</f>
        <v>#DIV/0!</v>
      </c>
      <c r="H27" s="630">
        <f ca="1">SUM(H23,H26)</f>
        <v>0</v>
      </c>
      <c r="I27" s="630">
        <f ca="1">SUM(I23,I26)</f>
        <v>0</v>
      </c>
      <c r="J27" s="630">
        <f ca="1">SUM(J23,J26)</f>
        <v>0</v>
      </c>
      <c r="K27" s="632"/>
      <c r="L27" s="244"/>
      <c r="M27" s="244"/>
    </row>
    <row r="28" spans="1:13" s="68" customFormat="1">
      <c r="A28" s="608"/>
      <c r="B28" s="608"/>
      <c r="C28" s="608"/>
      <c r="D28" s="610"/>
      <c r="E28" s="609"/>
      <c r="F28" s="608"/>
      <c r="G28" s="608"/>
      <c r="H28" s="608"/>
      <c r="I28" s="608"/>
      <c r="J28" s="628"/>
      <c r="K28" s="244"/>
      <c r="L28" s="244"/>
    </row>
    <row r="29" spans="1:13" s="68" customFormat="1">
      <c r="A29" s="608"/>
      <c r="B29" s="608"/>
      <c r="C29" s="608"/>
      <c r="D29" s="610"/>
      <c r="E29" s="609"/>
      <c r="F29" s="608"/>
      <c r="G29" s="608"/>
      <c r="H29" s="608"/>
      <c r="I29" s="608"/>
      <c r="J29" s="628"/>
      <c r="K29" s="244"/>
      <c r="L29" s="244"/>
    </row>
    <row r="30" spans="1:13" s="68" customFormat="1">
      <c r="A30" s="608"/>
      <c r="B30" s="608"/>
      <c r="C30" s="608"/>
      <c r="D30" s="610"/>
      <c r="E30" s="609"/>
      <c r="F30" s="608"/>
      <c r="G30" s="608"/>
      <c r="H30" s="608"/>
      <c r="I30" s="608"/>
      <c r="J30" s="628"/>
      <c r="K30" s="244"/>
      <c r="L30" s="244"/>
    </row>
    <row r="31" spans="1:13" s="68" customFormat="1">
      <c r="A31" s="608"/>
      <c r="B31" s="608"/>
      <c r="C31" s="608"/>
      <c r="D31" s="610"/>
      <c r="E31" s="609"/>
      <c r="F31" s="608"/>
      <c r="G31" s="608"/>
      <c r="H31" s="608"/>
      <c r="I31" s="608"/>
      <c r="J31" s="628"/>
      <c r="K31" s="244"/>
      <c r="L31" s="244"/>
    </row>
    <row r="32" spans="1:13">
      <c r="A32" s="628"/>
      <c r="B32" s="700" t="s">
        <v>2441</v>
      </c>
      <c r="C32" s="701"/>
      <c r="D32" s="701"/>
      <c r="E32" s="701"/>
      <c r="F32" s="701"/>
      <c r="G32" s="701"/>
      <c r="H32" s="701"/>
      <c r="I32" s="701"/>
      <c r="J32" s="702"/>
      <c r="K32" s="247"/>
      <c r="L32" s="247"/>
    </row>
    <row r="33" spans="1:13" ht="27.6">
      <c r="B33" s="647" t="s">
        <v>126</v>
      </c>
      <c r="C33" s="648" t="s">
        <v>2188</v>
      </c>
      <c r="D33" s="648" t="s">
        <v>2256</v>
      </c>
      <c r="E33" s="648" t="s">
        <v>2378</v>
      </c>
      <c r="F33" s="648" t="s">
        <v>2186</v>
      </c>
      <c r="G33" s="648" t="s">
        <v>2365</v>
      </c>
      <c r="H33" s="648" t="s">
        <v>2459</v>
      </c>
      <c r="I33" s="648" t="s">
        <v>2187</v>
      </c>
      <c r="J33" s="649" t="s">
        <v>2190</v>
      </c>
      <c r="K33" s="649" t="s">
        <v>2690</v>
      </c>
      <c r="L33" s="247"/>
      <c r="M33" s="247"/>
    </row>
    <row r="34" spans="1:13" ht="14.4">
      <c r="B34" s="652" t="str">
        <f>KSO_odpady!$CZ$3</f>
        <v>Odpady Przemysłowe</v>
      </c>
      <c r="C34" s="617">
        <f ca="1">SUMIFS(INDIRECT(Podsumowanie_KON[[#This Row],[Nazwa Tabeli]]&amp;"[Szacunkowa ilość odpadu (Mg/rok)]"),INDIRECT(Podsumowanie_KON[[#This Row],[Nazwa Tabeli]]&amp;"[Rodzaj odpadu]"),Podsumowanie_KON[[#This Row],[Podsumowanie]])*$J$8</f>
        <v>0</v>
      </c>
      <c r="D34" s="618" t="str">
        <f ca="1">IFERROR(Podsumowanie_KON[[#This Row],[Zysk '[PLN/kontrakt']]]/Podsumowanie_KON[[#This Row],[Obrót '[PLN/kontrakt']]],"")</f>
        <v/>
      </c>
      <c r="E34" s="617">
        <f ca="1">SUMIFS(INDIRECT(Podsumowanie_KON[[#This Row],[Nazwa Tabeli]]&amp;"[Obrót max (PLN/rok)]"),INDIRECT(Podsumowanie_KON[[#This Row],[Nazwa Tabeli]]&amp;"[Rodzaj odpadu]"),Podsumowanie_KON[[#This Row],[Podsumowanie]])*$J$8</f>
        <v>0</v>
      </c>
      <c r="F34" s="617">
        <f ca="1">(SUMIFS(INDIRECT(Podsumowanie_KON[[#This Row],[Nazwa Tabeli]]&amp;"[Zysk Spółki
(odpady)
 (PLN/rok)]"),INDIRECT(Podsumowanie_KON[[#This Row],[Nazwa Tabeli]]&amp;"[Rodzaj odpadu Spółki]"),Podsumowanie_KON[[#This Row],[Podsumowanie]])+SUMIFS(INDIRECT(Podsumowanie_KON[[#This Row],[Nazwa Tabeli]]&amp;"[Zysk Spółki
(transport)
 (PLN/rok)]"),INDIRECT(Podsumowanie_KON[[#This Row],[Nazwa Tabeli]]&amp;"[Rodzaj odpadu Spółki]"),Podsumowanie_KON[[#This Row],[Podsumowanie]]))*$J$8+SUMIFS(INDIRECT(Podsumowanie_KON[[#This Row],[Nazwa Tabeli]]&amp;"[Zysk (PLN/rok)]"),INDIRECT(K34&amp;"[Rodzaj odpadu]"),Podsumowanie_KON[[#This Row],[Podsumowanie]])*$J$8</f>
        <v>0</v>
      </c>
      <c r="G34" s="617" t="str">
        <f ca="1">IFERROR(Podsumowanie_KON[[#This Row],[Zysk '[PLN/kontrakt']]]/Podsumowanie_KON[[#This Row],[Ilość odpadów 
'[Mg/kontrakt']]],"")</f>
        <v/>
      </c>
      <c r="H34" s="617">
        <f ca="1">SUMIFS(INDIRECT(Podsumowanie_KON[[#This Row],[Nazwa Tabeli]]&amp;"[SUEZ płaci Klientowi (PLN/rok)]"),INDIRECT(K34&amp;"[Rodzaj odpadu]"),Podsumowanie_KON[[#This Row],[Podsumowanie]])*$J$8</f>
        <v>0</v>
      </c>
      <c r="I34" s="617">
        <f ca="1">SUMIFS(INDIRECT(Podsumowanie_KON[[#This Row],[Nazwa Tabeli]]&amp;"[Klient płaci SUEZ (PLN/rok)]"),INDIRECT(K34&amp;"[Rodzaj odpadu]"),Podsumowanie_KON[[#This Row],[Podsumowanie]])*$J$8</f>
        <v>0</v>
      </c>
      <c r="J34" s="619">
        <f ca="1">Podsumowanie_KON[[#This Row],[SUEZ płaci Klientowi '[PLN/kontrakt']]]-Podsumowanie_KON[[#This Row],[Klient płaci SUEZ '[PLN/kontrakt']]]</f>
        <v>0</v>
      </c>
      <c r="K34" s="619" t="s">
        <v>2691</v>
      </c>
      <c r="L34" s="247"/>
      <c r="M34" s="247"/>
    </row>
    <row r="35" spans="1:13" ht="14.4">
      <c r="B35" s="653" t="str">
        <f>KSO_odpady!$CZ$2</f>
        <v>Surowce</v>
      </c>
      <c r="C35" s="617">
        <f ca="1">SUMIFS(INDIRECT(Podsumowanie_KON[[#This Row],[Nazwa Tabeli]]&amp;"[Szacunkowa ilość odpadu (Mg/rok)]"),INDIRECT(Podsumowanie_KON[[#This Row],[Nazwa Tabeli]]&amp;"[Rodzaj odpadu]"),Podsumowanie_KON[[#This Row],[Podsumowanie]])*$J$8</f>
        <v>0</v>
      </c>
      <c r="D35" s="622" t="str">
        <f ca="1">IFERROR(Podsumowanie_KON[[#This Row],[Zysk '[PLN/kontrakt']]]/Podsumowanie_KON[[#This Row],[Obrót '[PLN/kontrakt']]],"")</f>
        <v/>
      </c>
      <c r="E35" s="617">
        <f ca="1">SUMIFS(INDIRECT(Podsumowanie_KON[[#This Row],[Nazwa Tabeli]]&amp;"[Obrót max (PLN/rok)]"),INDIRECT(Podsumowanie_KON[[#This Row],[Nazwa Tabeli]]&amp;"[Rodzaj odpadu]"),Podsumowanie_KON[[#This Row],[Podsumowanie]])*$J$8</f>
        <v>0</v>
      </c>
      <c r="F35" s="617">
        <f ca="1">(SUMIFS(INDIRECT(Podsumowanie_KON[[#This Row],[Nazwa Tabeli]]&amp;"[Zysk Spółki
(odpady)
 (PLN/rok)]"),INDIRECT(Podsumowanie_KON[[#This Row],[Nazwa Tabeli]]&amp;"[Rodzaj odpadu Spółki]"),Podsumowanie_KON[[#This Row],[Podsumowanie]])+SUMIFS(INDIRECT(Podsumowanie_KON[[#This Row],[Nazwa Tabeli]]&amp;"[Zysk Spółki
(transport)
 (PLN/rok)]"),INDIRECT(Podsumowanie_KON[[#This Row],[Nazwa Tabeli]]&amp;"[Rodzaj odpadu Spółki]"),Podsumowanie_KON[[#This Row],[Podsumowanie]]))*$J$8+SUMIFS(INDIRECT(Podsumowanie_KON[[#This Row],[Nazwa Tabeli]]&amp;"[Zysk (PLN/rok)]"),INDIRECT(K35&amp;"[Rodzaj odpadu]"),Podsumowanie_KON[[#This Row],[Podsumowanie]])*$J$8</f>
        <v>0</v>
      </c>
      <c r="G35" s="621" t="str">
        <f ca="1">IFERROR(Podsumowanie_KON[[#This Row],[Zysk '[PLN/kontrakt']]]/Podsumowanie_KON[[#This Row],[Ilość odpadów 
'[Mg/kontrakt']]],"")</f>
        <v/>
      </c>
      <c r="H35" s="617">
        <f ca="1">SUMIFS(INDIRECT(Podsumowanie_KON[[#This Row],[Nazwa Tabeli]]&amp;"[SUEZ płaci Klientowi (PLN/rok)]"),INDIRECT(K35&amp;"[Rodzaj odpadu]"),Podsumowanie_KON[[#This Row],[Podsumowanie]])*$J$8</f>
        <v>0</v>
      </c>
      <c r="I35" s="617">
        <f ca="1">SUMIFS(INDIRECT(Podsumowanie_KON[[#This Row],[Nazwa Tabeli]]&amp;"[Klient płaci SUEZ (PLN/rok)]"),INDIRECT(K35&amp;"[Rodzaj odpadu]"),Podsumowanie_KON[[#This Row],[Podsumowanie]])*$J$8</f>
        <v>0</v>
      </c>
      <c r="J35" s="623">
        <f ca="1">Podsumowanie_KON[[#This Row],[SUEZ płaci Klientowi '[PLN/kontrakt']]]-Podsumowanie_KON[[#This Row],[Klient płaci SUEZ '[PLN/kontrakt']]]</f>
        <v>0</v>
      </c>
      <c r="K35" s="619" t="s">
        <v>2691</v>
      </c>
      <c r="L35" s="247"/>
      <c r="M35" s="247"/>
    </row>
    <row r="36" spans="1:13">
      <c r="B36" s="624" t="s">
        <v>2248</v>
      </c>
      <c r="C36" s="625">
        <f ca="1">SUM(C34:C35)</f>
        <v>0</v>
      </c>
      <c r="D36" s="626">
        <f ca="1">IFERROR(Podsumowanie_KON[[#This Row],[Zysk '[PLN/kontrakt']]]/Podsumowanie_KON[[#This Row],[Obrót '[PLN/kontrakt']]],0)</f>
        <v>0</v>
      </c>
      <c r="E36" s="625">
        <f ca="1">SUM(E34:E35)</f>
        <v>0</v>
      </c>
      <c r="F36" s="625">
        <f ca="1">SUM(F34:F35)</f>
        <v>0</v>
      </c>
      <c r="G36" s="625" t="e">
        <f ca="1">Podsumowanie_KON[[#This Row],[Zysk '[PLN/kontrakt']]]/Podsumowanie_KON[[#This Row],[Ilość odpadów 
'[Mg/kontrakt']]]</f>
        <v>#DIV/0!</v>
      </c>
      <c r="H36" s="625">
        <f ca="1">SUM(H34:H35)</f>
        <v>0</v>
      </c>
      <c r="I36" s="625">
        <f ca="1">SUM(I34:I35)</f>
        <v>0</v>
      </c>
      <c r="J36" s="627">
        <f ca="1">SUM(J34:J35)</f>
        <v>0</v>
      </c>
      <c r="K36" s="619"/>
      <c r="L36" s="247"/>
      <c r="M36" s="247"/>
    </row>
    <row r="37" spans="1:13" ht="14.4">
      <c r="B37" s="654" t="s">
        <v>2694</v>
      </c>
      <c r="C37" s="621">
        <v>0</v>
      </c>
      <c r="D37" s="622" t="str">
        <f ca="1">IFERROR(Podsumowanie_KON[[#This Row],[Zysk '[PLN/kontrakt']]]/Podsumowanie_KON[[#This Row],[Obrót '[PLN/kontrakt']]],"")</f>
        <v/>
      </c>
      <c r="E37" s="621">
        <f ca="1">INDIRECT(Podsumowanie_KON[[#This Row],[Nazwa Tabeli]]&amp;"[[#Sumy];[Obrót 
'[zł/rok']]]")*$J$8</f>
        <v>0</v>
      </c>
      <c r="F37" s="621">
        <f ca="1">INDIRECT(Podsumowanie_KON[[#This Row],[Nazwa Tabeli]]&amp;"[[#Sumy];[Zysk
 '[zł/rok']]]")*$J$8</f>
        <v>0</v>
      </c>
      <c r="G37" s="621">
        <v>0</v>
      </c>
      <c r="H37" s="621">
        <v>0</v>
      </c>
      <c r="I37" s="621">
        <f ca="1">Podsumowanie_KON[[#This Row],[Obrót '[PLN/kontrakt']]]</f>
        <v>0</v>
      </c>
      <c r="J37" s="623">
        <f ca="1">Podsumowanie_KON[[#This Row],[SUEZ płaci Klientowi '[PLN/kontrakt']]]-Podsumowanie_KON[[#This Row],[Klient płaci SUEZ '[PLN/kontrakt']]]</f>
        <v>0</v>
      </c>
      <c r="K37" s="619" t="s">
        <v>2692</v>
      </c>
      <c r="L37" s="247"/>
      <c r="M37" s="247"/>
    </row>
    <row r="38" spans="1:13" ht="14.4">
      <c r="B38" s="655" t="s">
        <v>2695</v>
      </c>
      <c r="C38" s="621">
        <v>0</v>
      </c>
      <c r="D38" s="622" t="str">
        <f ca="1">IFERROR(Podsumowanie_KON[[#This Row],[Zysk '[PLN/kontrakt']]]/Podsumowanie_KON[[#This Row],[Obrót '[PLN/kontrakt']]],"")</f>
        <v/>
      </c>
      <c r="E38" s="621">
        <f ca="1">INDIRECT(Podsumowanie_KON[[#This Row],[Nazwa Tabeli]]&amp;"[[#Sumy];[Obrót 
'[zł/rok']]]")*$J$8</f>
        <v>0</v>
      </c>
      <c r="F38" s="621">
        <f ca="1">INDIRECT(Podsumowanie_KON[[#This Row],[Nazwa Tabeli]]&amp;"[[#Sumy];[Zysk
 '[zł/rok']]]")*$J$8</f>
        <v>0</v>
      </c>
      <c r="G38" s="621">
        <v>0</v>
      </c>
      <c r="H38" s="621">
        <v>0</v>
      </c>
      <c r="I38" s="621">
        <f ca="1">Podsumowanie_KON[[#This Row],[Obrót '[PLN/kontrakt']]]</f>
        <v>0</v>
      </c>
      <c r="J38" s="623">
        <f ca="1">Podsumowanie_KON[[#This Row],[SUEZ płaci Klientowi '[PLN/kontrakt']]]-Podsumowanie_KON[[#This Row],[Klient płaci SUEZ '[PLN/kontrakt']]]</f>
        <v>0</v>
      </c>
      <c r="K38" s="619" t="s">
        <v>2693</v>
      </c>
      <c r="L38" s="247"/>
      <c r="M38" s="247"/>
    </row>
    <row r="39" spans="1:13">
      <c r="B39" s="624" t="s">
        <v>2696</v>
      </c>
      <c r="C39" s="625">
        <v>0</v>
      </c>
      <c r="D39" s="626" t="str">
        <f ca="1">IFERROR(Podsumowanie_KON[[#This Row],[Zysk '[PLN/kontrakt']]]/Podsumowanie_KON[[#This Row],[Obrót '[PLN/kontrakt']]],"")</f>
        <v/>
      </c>
      <c r="E39" s="625">
        <f ca="1">SUM(E37:E38)</f>
        <v>0</v>
      </c>
      <c r="F39" s="625">
        <f ca="1">SUM(F37:F38)</f>
        <v>0</v>
      </c>
      <c r="G39" s="625">
        <v>0</v>
      </c>
      <c r="H39" s="625">
        <v>0</v>
      </c>
      <c r="I39" s="625">
        <f ca="1">SUM(I37:I38)</f>
        <v>0</v>
      </c>
      <c r="J39" s="625">
        <f ca="1">SUM(J37:J38)</f>
        <v>0</v>
      </c>
      <c r="K39" s="619"/>
      <c r="L39" s="247"/>
      <c r="M39" s="247"/>
    </row>
    <row r="40" spans="1:13" s="255" customFormat="1">
      <c r="A40" s="608"/>
      <c r="B40" s="629" t="s">
        <v>2176</v>
      </c>
      <c r="C40" s="630">
        <f ca="1">C36+C39</f>
        <v>0</v>
      </c>
      <c r="D40" s="631" t="e">
        <f ca="1">Podsumowanie_KON[[#Totals],[Zysk '[PLN/kontrakt']]]/Podsumowanie_KON[[#Totals],[Obrót '[PLN/kontrakt']]]</f>
        <v>#DIV/0!</v>
      </c>
      <c r="E40" s="630">
        <f t="shared" ref="E40:J40" ca="1" si="2">E36+E39</f>
        <v>0</v>
      </c>
      <c r="F40" s="630">
        <f t="shared" ca="1" si="2"/>
        <v>0</v>
      </c>
      <c r="G40" s="630" t="e">
        <f t="shared" ca="1" si="2"/>
        <v>#DIV/0!</v>
      </c>
      <c r="H40" s="630">
        <f t="shared" ca="1" si="2"/>
        <v>0</v>
      </c>
      <c r="I40" s="630">
        <f t="shared" ca="1" si="2"/>
        <v>0</v>
      </c>
      <c r="J40" s="630">
        <f t="shared" ca="1" si="2"/>
        <v>0</v>
      </c>
      <c r="K40" s="632"/>
    </row>
    <row r="41" spans="1:13" s="255" customFormat="1">
      <c r="A41" s="608"/>
      <c r="B41" s="608"/>
      <c r="C41" s="608"/>
      <c r="D41" s="608"/>
      <c r="E41" s="609"/>
      <c r="F41" s="608"/>
      <c r="G41" s="608"/>
      <c r="H41" s="608"/>
      <c r="I41" s="608"/>
      <c r="J41" s="608"/>
    </row>
    <row r="42" spans="1:13" s="255" customFormat="1">
      <c r="A42" s="608"/>
      <c r="B42" s="633" t="s">
        <v>2252</v>
      </c>
      <c r="C42" s="633" t="s">
        <v>2366</v>
      </c>
      <c r="D42" s="608"/>
      <c r="E42" s="609"/>
      <c r="F42" s="608"/>
      <c r="G42" s="608"/>
      <c r="H42" s="608"/>
      <c r="I42" s="608"/>
      <c r="J42" s="608"/>
    </row>
    <row r="43" spans="1:13" s="255" customFormat="1">
      <c r="A43" s="608"/>
      <c r="B43" s="634" t="s">
        <v>1026</v>
      </c>
      <c r="C43" s="635">
        <f>Obsluga_sprzet[[#Totals],[Całkowita wartość środków trwałych CAPEX 
netto (zł)]]</f>
        <v>0</v>
      </c>
      <c r="D43" s="608"/>
      <c r="E43" s="636" t="s">
        <v>2177</v>
      </c>
      <c r="F43" s="637" t="s">
        <v>2524</v>
      </c>
      <c r="G43" s="636" t="s">
        <v>1925</v>
      </c>
      <c r="H43" s="608"/>
      <c r="I43" s="608"/>
      <c r="J43" s="608"/>
    </row>
    <row r="44" spans="1:13" s="255" customFormat="1">
      <c r="A44" s="608"/>
      <c r="B44" s="628"/>
      <c r="C44" s="638"/>
      <c r="D44" s="608"/>
      <c r="E44" s="639" t="s">
        <v>2367</v>
      </c>
      <c r="F44" s="640">
        <f>7000*12*SGA_KON23[[#Headers],[0,00]]/250</f>
        <v>0</v>
      </c>
      <c r="G44" s="641"/>
      <c r="H44" s="608"/>
      <c r="I44" s="608"/>
      <c r="J44" s="608"/>
    </row>
    <row r="45" spans="1:13" s="255" customFormat="1">
      <c r="A45" s="608"/>
      <c r="B45" s="642" t="s">
        <v>1926</v>
      </c>
      <c r="C45" s="643">
        <f ca="1">Podsumowanie_KON[[#Totals],[Obrót '[PLN/kontrakt']]]</f>
        <v>0</v>
      </c>
      <c r="D45" s="608"/>
      <c r="E45" s="639" t="s">
        <v>2374</v>
      </c>
      <c r="F45" s="640">
        <f>F44*1.23</f>
        <v>0</v>
      </c>
      <c r="G45" s="641"/>
      <c r="H45" s="608"/>
      <c r="I45" s="608"/>
      <c r="J45" s="608"/>
    </row>
    <row r="46" spans="1:13" s="255" customFormat="1">
      <c r="A46" s="608"/>
      <c r="B46" s="642" t="s">
        <v>1732</v>
      </c>
      <c r="C46" s="643">
        <f ca="1">Podsumowanie_KON[[#Totals],[Zysk '[PLN/kontrakt']]]</f>
        <v>0</v>
      </c>
      <c r="D46" s="608"/>
      <c r="E46" s="639" t="s">
        <v>2375</v>
      </c>
      <c r="F46" s="640">
        <f>F45*1.2</f>
        <v>0</v>
      </c>
      <c r="G46" s="641"/>
      <c r="H46" s="608"/>
      <c r="I46" s="608"/>
      <c r="J46" s="608"/>
    </row>
    <row r="47" spans="1:13" s="255" customFormat="1">
      <c r="A47" s="608"/>
      <c r="B47" s="642" t="s">
        <v>1733</v>
      </c>
      <c r="C47" s="643">
        <f>F47*J8</f>
        <v>0</v>
      </c>
      <c r="D47" s="608"/>
      <c r="E47" s="636" t="s">
        <v>2368</v>
      </c>
      <c r="F47" s="644">
        <f>F46*12</f>
        <v>0</v>
      </c>
      <c r="G47" s="644"/>
      <c r="H47" s="608"/>
      <c r="I47" s="608"/>
      <c r="J47" s="608"/>
    </row>
    <row r="48" spans="1:13" s="255" customFormat="1">
      <c r="A48" s="608"/>
      <c r="B48" s="642" t="s">
        <v>1734</v>
      </c>
      <c r="C48" s="643">
        <f ca="1">C46-C47</f>
        <v>0</v>
      </c>
      <c r="D48" s="608"/>
      <c r="E48" s="608"/>
      <c r="F48" s="608"/>
      <c r="G48" s="608"/>
      <c r="H48" s="608"/>
      <c r="I48" s="608"/>
      <c r="J48" s="608"/>
    </row>
    <row r="49" spans="1:10" s="255" customFormat="1">
      <c r="A49" s="608"/>
      <c r="B49" s="642" t="s">
        <v>2253</v>
      </c>
      <c r="C49" s="643">
        <f>Obsluga_sprzet[[#Totals],[Wartość amortyzacji na kontrakt (zł)]]</f>
        <v>0</v>
      </c>
      <c r="D49" s="608"/>
      <c r="E49" s="609"/>
      <c r="F49" s="608"/>
      <c r="G49" s="608"/>
      <c r="H49" s="608"/>
      <c r="I49" s="608"/>
      <c r="J49" s="608"/>
    </row>
    <row r="50" spans="1:10" s="255" customFormat="1">
      <c r="A50" s="608"/>
      <c r="B50" s="642" t="s">
        <v>1737</v>
      </c>
      <c r="C50" s="643">
        <f ca="1">C48+C49</f>
        <v>0</v>
      </c>
      <c r="D50" s="608"/>
      <c r="E50" s="609"/>
      <c r="F50" s="608"/>
      <c r="G50" s="608"/>
      <c r="H50" s="608"/>
      <c r="I50" s="608"/>
      <c r="J50" s="608"/>
    </row>
    <row r="51" spans="1:10" s="255" customFormat="1">
      <c r="A51" s="608"/>
      <c r="B51" s="642" t="s">
        <v>2376</v>
      </c>
      <c r="C51" s="643">
        <f ca="1">C48*0.81</f>
        <v>0</v>
      </c>
      <c r="D51" s="608"/>
      <c r="E51" s="645"/>
      <c r="F51" s="608"/>
      <c r="G51" s="608"/>
      <c r="H51" s="608"/>
      <c r="I51" s="608"/>
      <c r="J51" s="608"/>
    </row>
    <row r="52" spans="1:10" s="255" customFormat="1">
      <c r="A52" s="608"/>
      <c r="B52" s="642" t="s">
        <v>2377</v>
      </c>
      <c r="C52" s="646" t="e">
        <f ca="1">(C51/C43)</f>
        <v>#DIV/0!</v>
      </c>
      <c r="D52" s="608"/>
      <c r="E52" s="645"/>
      <c r="F52" s="608"/>
      <c r="G52" s="608"/>
      <c r="H52" s="608"/>
      <c r="I52" s="608"/>
      <c r="J52" s="608"/>
    </row>
  </sheetData>
  <mergeCells count="41">
    <mergeCell ref="B12:J12"/>
    <mergeCell ref="B19:J19"/>
    <mergeCell ref="A4:B4"/>
    <mergeCell ref="A5:B5"/>
    <mergeCell ref="A6:B6"/>
    <mergeCell ref="A7:B7"/>
    <mergeCell ref="G4:H4"/>
    <mergeCell ref="C5:D5"/>
    <mergeCell ref="E5:F5"/>
    <mergeCell ref="G5:H5"/>
    <mergeCell ref="C4:D4"/>
    <mergeCell ref="E4:F4"/>
    <mergeCell ref="C6:D6"/>
    <mergeCell ref="E6:F6"/>
    <mergeCell ref="G6:H6"/>
    <mergeCell ref="E10:F10"/>
    <mergeCell ref="C9:D9"/>
    <mergeCell ref="E9:F9"/>
    <mergeCell ref="G9:H9"/>
    <mergeCell ref="C7:D7"/>
    <mergeCell ref="G10:H10"/>
    <mergeCell ref="C8:D8"/>
    <mergeCell ref="E8:F8"/>
    <mergeCell ref="G8:H8"/>
    <mergeCell ref="E7:F7"/>
    <mergeCell ref="B32:J32"/>
    <mergeCell ref="J6:J7"/>
    <mergeCell ref="J8:J10"/>
    <mergeCell ref="A2:B2"/>
    <mergeCell ref="C2:D2"/>
    <mergeCell ref="E2:F2"/>
    <mergeCell ref="G2:H2"/>
    <mergeCell ref="C3:D3"/>
    <mergeCell ref="E3:F3"/>
    <mergeCell ref="G3:H3"/>
    <mergeCell ref="A3:B3"/>
    <mergeCell ref="A9:B9"/>
    <mergeCell ref="A10:B10"/>
    <mergeCell ref="A8:B8"/>
    <mergeCell ref="G7:H7"/>
    <mergeCell ref="C10:D10"/>
  </mergeCells>
  <pageMargins left="0.23622047244094491" right="0.23622047244094491" top="0.74803149606299213" bottom="0.74803149606299213" header="0.31496062992125984" footer="0.31496062992125984"/>
  <pageSetup paperSize="8" scale="120" orientation="landscape" cellComments="asDisplayed" r:id="rId1"/>
  <headerFooter alignWithMargins="0"/>
  <drawing r:id="rId2"/>
  <tableParts count="5"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7"/>
  <dimension ref="A1:P37"/>
  <sheetViews>
    <sheetView workbookViewId="0">
      <selection activeCell="E9" sqref="E9"/>
    </sheetView>
  </sheetViews>
  <sheetFormatPr defaultColWidth="9.109375" defaultRowHeight="13.2"/>
  <cols>
    <col min="1" max="1" width="30.88671875" style="656" bestFit="1" customWidth="1"/>
    <col min="2" max="2" width="6.33203125" style="656" bestFit="1" customWidth="1"/>
    <col min="3" max="3" width="16.88671875" style="656" bestFit="1" customWidth="1"/>
    <col min="4" max="4" width="9.88671875" style="656" bestFit="1" customWidth="1"/>
    <col min="5" max="5" width="6.5546875" style="656" bestFit="1" customWidth="1"/>
    <col min="6" max="6" width="9.44140625" style="656" bestFit="1" customWidth="1"/>
    <col min="7" max="7" width="10.44140625" style="656" bestFit="1" customWidth="1"/>
    <col min="8" max="8" width="6.33203125" style="656" bestFit="1" customWidth="1"/>
    <col min="9" max="9" width="10.5546875" style="656" bestFit="1" customWidth="1"/>
    <col min="10" max="10" width="7.5546875" style="656" bestFit="1" customWidth="1"/>
    <col min="11" max="11" width="9.6640625" style="656" bestFit="1" customWidth="1"/>
    <col min="12" max="12" width="10.5546875" style="656" bestFit="1" customWidth="1"/>
    <col min="13" max="13" width="12.6640625" style="656" bestFit="1" customWidth="1"/>
    <col min="14" max="14" width="9.6640625" style="656" bestFit="1" customWidth="1"/>
    <col min="15" max="15" width="10.33203125" style="656" bestFit="1" customWidth="1"/>
    <col min="16" max="16" width="10.5546875" style="656" bestFit="1" customWidth="1"/>
    <col min="17" max="16384" width="9.109375" style="656"/>
  </cols>
  <sheetData>
    <row r="1" spans="1:16">
      <c r="A1" s="656" t="s">
        <v>2697</v>
      </c>
      <c r="B1" s="656" t="s">
        <v>2698</v>
      </c>
      <c r="C1" s="656" t="s">
        <v>2699</v>
      </c>
      <c r="D1" s="656" t="s">
        <v>2700</v>
      </c>
      <c r="E1" s="656" t="s">
        <v>2701</v>
      </c>
      <c r="F1" s="656" t="s">
        <v>2702</v>
      </c>
      <c r="G1" s="656" t="s">
        <v>2703</v>
      </c>
      <c r="H1" s="656" t="s">
        <v>2704</v>
      </c>
      <c r="I1" s="656" t="s">
        <v>2705</v>
      </c>
      <c r="J1" s="656" t="s">
        <v>2706</v>
      </c>
      <c r="K1" s="656" t="s">
        <v>2707</v>
      </c>
      <c r="L1" s="656" t="s">
        <v>2708</v>
      </c>
      <c r="M1" s="656" t="s">
        <v>2709</v>
      </c>
      <c r="N1" s="656" t="s">
        <v>2710</v>
      </c>
      <c r="O1" s="656" t="s">
        <v>2711</v>
      </c>
      <c r="P1" s="656" t="s">
        <v>2712</v>
      </c>
    </row>
    <row r="2" spans="1:16" hidden="1">
      <c r="A2" s="657" t="s">
        <v>2713</v>
      </c>
      <c r="B2" s="657" t="s">
        <v>2714</v>
      </c>
      <c r="C2" s="656">
        <v>1</v>
      </c>
      <c r="D2" s="656">
        <v>0.107</v>
      </c>
      <c r="E2" s="657" t="s">
        <v>2715</v>
      </c>
      <c r="F2" s="657" t="s">
        <v>2818</v>
      </c>
      <c r="G2" s="657" t="s">
        <v>1932</v>
      </c>
      <c r="H2" s="657" t="s">
        <v>1932</v>
      </c>
      <c r="I2" s="657" t="s">
        <v>1932</v>
      </c>
      <c r="J2" s="657" t="s">
        <v>1932</v>
      </c>
      <c r="K2" s="657" t="s">
        <v>1932</v>
      </c>
      <c r="L2" s="657" t="s">
        <v>1932</v>
      </c>
      <c r="M2" s="657" t="s">
        <v>1932</v>
      </c>
      <c r="N2" s="657" t="s">
        <v>1932</v>
      </c>
      <c r="O2" s="657" t="s">
        <v>1932</v>
      </c>
      <c r="P2" s="657" t="s">
        <v>1932</v>
      </c>
    </row>
    <row r="3" spans="1:16">
      <c r="A3" s="657" t="s">
        <v>2716</v>
      </c>
      <c r="B3" s="657" t="s">
        <v>2717</v>
      </c>
      <c r="C3" s="656">
        <v>1</v>
      </c>
      <c r="D3" s="656">
        <v>3.4140999999999999</v>
      </c>
      <c r="E3" s="657" t="s">
        <v>2718</v>
      </c>
      <c r="F3" s="657" t="s">
        <v>2819</v>
      </c>
      <c r="G3" s="657" t="s">
        <v>1932</v>
      </c>
      <c r="H3" s="657" t="s">
        <v>1932</v>
      </c>
      <c r="I3" s="657" t="s">
        <v>1932</v>
      </c>
      <c r="J3" s="657" t="s">
        <v>1932</v>
      </c>
      <c r="K3" s="657" t="s">
        <v>1932</v>
      </c>
      <c r="L3" s="657" t="s">
        <v>1932</v>
      </c>
      <c r="M3" s="657" t="s">
        <v>1932</v>
      </c>
      <c r="N3" s="657" t="s">
        <v>1932</v>
      </c>
      <c r="O3" s="657" t="s">
        <v>1932</v>
      </c>
      <c r="P3" s="657" t="s">
        <v>1932</v>
      </c>
    </row>
    <row r="4" spans="1:16" hidden="1">
      <c r="A4" s="657" t="s">
        <v>2719</v>
      </c>
      <c r="B4" s="657" t="s">
        <v>2720</v>
      </c>
      <c r="C4" s="656">
        <v>1</v>
      </c>
      <c r="D4" s="656">
        <v>2.7134</v>
      </c>
      <c r="E4" s="657" t="s">
        <v>2721</v>
      </c>
      <c r="F4" s="657" t="s">
        <v>2820</v>
      </c>
      <c r="G4" s="657" t="s">
        <v>1932</v>
      </c>
      <c r="H4" s="657" t="s">
        <v>1932</v>
      </c>
      <c r="I4" s="657" t="s">
        <v>1932</v>
      </c>
      <c r="J4" s="657" t="s">
        <v>1932</v>
      </c>
      <c r="K4" s="657" t="s">
        <v>1932</v>
      </c>
      <c r="L4" s="657" t="s">
        <v>1932</v>
      </c>
      <c r="M4" s="657" t="s">
        <v>1932</v>
      </c>
      <c r="N4" s="657" t="s">
        <v>1932</v>
      </c>
      <c r="O4" s="657" t="s">
        <v>1932</v>
      </c>
      <c r="P4" s="657" t="s">
        <v>1932</v>
      </c>
    </row>
    <row r="5" spans="1:16" hidden="1">
      <c r="A5" s="657" t="s">
        <v>2722</v>
      </c>
      <c r="B5" s="657" t="s">
        <v>2723</v>
      </c>
      <c r="C5" s="656">
        <v>1</v>
      </c>
      <c r="D5" s="656">
        <v>0.43659999999999999</v>
      </c>
      <c r="E5" s="657" t="s">
        <v>2724</v>
      </c>
      <c r="F5" s="657" t="s">
        <v>2821</v>
      </c>
      <c r="G5" s="657" t="s">
        <v>1932</v>
      </c>
      <c r="H5" s="657" t="s">
        <v>1932</v>
      </c>
      <c r="I5" s="657" t="s">
        <v>1932</v>
      </c>
      <c r="J5" s="657" t="s">
        <v>1932</v>
      </c>
      <c r="K5" s="657" t="s">
        <v>1932</v>
      </c>
      <c r="L5" s="657" t="s">
        <v>1932</v>
      </c>
      <c r="M5" s="657" t="s">
        <v>1932</v>
      </c>
      <c r="N5" s="657" t="s">
        <v>1932</v>
      </c>
      <c r="O5" s="657" t="s">
        <v>1932</v>
      </c>
      <c r="P5" s="657" t="s">
        <v>1932</v>
      </c>
    </row>
    <row r="6" spans="1:16" hidden="1">
      <c r="A6" s="657" t="s">
        <v>2725</v>
      </c>
      <c r="B6" s="657" t="s">
        <v>2726</v>
      </c>
      <c r="C6" s="656">
        <v>1</v>
      </c>
      <c r="D6" s="656">
        <v>2.7448000000000001</v>
      </c>
      <c r="E6" s="657" t="s">
        <v>2727</v>
      </c>
      <c r="F6" s="657" t="s">
        <v>2822</v>
      </c>
      <c r="G6" s="657" t="s">
        <v>1932</v>
      </c>
      <c r="H6" s="657" t="s">
        <v>1932</v>
      </c>
      <c r="I6" s="657" t="s">
        <v>1932</v>
      </c>
      <c r="J6" s="657" t="s">
        <v>1932</v>
      </c>
      <c r="K6" s="657" t="s">
        <v>1932</v>
      </c>
      <c r="L6" s="657" t="s">
        <v>1932</v>
      </c>
      <c r="M6" s="657" t="s">
        <v>1932</v>
      </c>
      <c r="N6" s="657" t="s">
        <v>1932</v>
      </c>
      <c r="O6" s="657" t="s">
        <v>1932</v>
      </c>
      <c r="P6" s="657" t="s">
        <v>1932</v>
      </c>
    </row>
    <row r="7" spans="1:16" hidden="1">
      <c r="A7" s="657" t="s">
        <v>2728</v>
      </c>
      <c r="B7" s="657" t="s">
        <v>2729</v>
      </c>
      <c r="C7" s="656">
        <v>1</v>
      </c>
      <c r="D7" s="656">
        <v>2.4773999999999998</v>
      </c>
      <c r="E7" s="657" t="s">
        <v>2730</v>
      </c>
      <c r="F7" s="657" t="s">
        <v>2823</v>
      </c>
      <c r="G7" s="657" t="s">
        <v>1932</v>
      </c>
      <c r="H7" s="657" t="s">
        <v>1932</v>
      </c>
      <c r="I7" s="657" t="s">
        <v>1932</v>
      </c>
      <c r="J7" s="657" t="s">
        <v>1932</v>
      </c>
      <c r="K7" s="657" t="s">
        <v>1932</v>
      </c>
      <c r="L7" s="657" t="s">
        <v>1932</v>
      </c>
      <c r="M7" s="657" t="s">
        <v>1932</v>
      </c>
      <c r="N7" s="657" t="s">
        <v>1932</v>
      </c>
      <c r="O7" s="657" t="s">
        <v>1932</v>
      </c>
      <c r="P7" s="657" t="s">
        <v>1932</v>
      </c>
    </row>
    <row r="8" spans="1:16" hidden="1">
      <c r="A8" s="657" t="s">
        <v>2731</v>
      </c>
      <c r="B8" s="657" t="s">
        <v>2732</v>
      </c>
      <c r="C8" s="656">
        <v>1</v>
      </c>
      <c r="D8" s="656">
        <v>2.5827</v>
      </c>
      <c r="E8" s="657" t="s">
        <v>2733</v>
      </c>
      <c r="F8" s="657" t="s">
        <v>2824</v>
      </c>
      <c r="G8" s="657" t="s">
        <v>1932</v>
      </c>
      <c r="H8" s="657" t="s">
        <v>1932</v>
      </c>
      <c r="I8" s="657" t="s">
        <v>1932</v>
      </c>
      <c r="J8" s="657" t="s">
        <v>1932</v>
      </c>
      <c r="K8" s="657" t="s">
        <v>1932</v>
      </c>
      <c r="L8" s="657" t="s">
        <v>1932</v>
      </c>
      <c r="M8" s="657" t="s">
        <v>1932</v>
      </c>
      <c r="N8" s="657" t="s">
        <v>1932</v>
      </c>
      <c r="O8" s="657" t="s">
        <v>1932</v>
      </c>
      <c r="P8" s="657" t="s">
        <v>1932</v>
      </c>
    </row>
    <row r="9" spans="1:16">
      <c r="A9" s="657" t="s">
        <v>2734</v>
      </c>
      <c r="B9" s="657" t="s">
        <v>2735</v>
      </c>
      <c r="C9" s="656">
        <v>1</v>
      </c>
      <c r="D9" s="656">
        <v>4.1635999999999997</v>
      </c>
      <c r="E9" s="657" t="s">
        <v>2736</v>
      </c>
      <c r="F9" s="657" t="s">
        <v>2825</v>
      </c>
      <c r="G9" s="657" t="s">
        <v>1932</v>
      </c>
      <c r="H9" s="657" t="s">
        <v>1932</v>
      </c>
      <c r="I9" s="657" t="s">
        <v>1932</v>
      </c>
      <c r="J9" s="657" t="s">
        <v>1932</v>
      </c>
      <c r="K9" s="657" t="s">
        <v>1932</v>
      </c>
      <c r="L9" s="657" t="s">
        <v>1932</v>
      </c>
      <c r="M9" s="657" t="s">
        <v>1932</v>
      </c>
      <c r="N9" s="657" t="s">
        <v>1932</v>
      </c>
      <c r="O9" s="657" t="s">
        <v>1932</v>
      </c>
      <c r="P9" s="657" t="s">
        <v>1932</v>
      </c>
    </row>
    <row r="10" spans="1:16" hidden="1">
      <c r="A10" s="657" t="s">
        <v>2737</v>
      </c>
      <c r="B10" s="657" t="s">
        <v>2738</v>
      </c>
      <c r="C10" s="656">
        <v>100</v>
      </c>
      <c r="D10" s="656">
        <v>1.3464</v>
      </c>
      <c r="E10" s="657" t="s">
        <v>2739</v>
      </c>
      <c r="F10" s="657" t="s">
        <v>2826</v>
      </c>
      <c r="G10" s="657" t="s">
        <v>1932</v>
      </c>
      <c r="H10" s="657" t="s">
        <v>1932</v>
      </c>
      <c r="I10" s="657" t="s">
        <v>1932</v>
      </c>
      <c r="J10" s="657" t="s">
        <v>1932</v>
      </c>
      <c r="K10" s="657" t="s">
        <v>1932</v>
      </c>
      <c r="L10" s="657" t="s">
        <v>1932</v>
      </c>
      <c r="M10" s="657" t="s">
        <v>1932</v>
      </c>
      <c r="N10" s="657" t="s">
        <v>1932</v>
      </c>
      <c r="O10" s="657" t="s">
        <v>1932</v>
      </c>
      <c r="P10" s="657" t="s">
        <v>1932</v>
      </c>
    </row>
    <row r="11" spans="1:16" hidden="1">
      <c r="A11" s="657" t="s">
        <v>2740</v>
      </c>
      <c r="B11" s="657" t="s">
        <v>2741</v>
      </c>
      <c r="C11" s="656">
        <v>1</v>
      </c>
      <c r="D11" s="656">
        <v>3.5510999999999999</v>
      </c>
      <c r="E11" s="657" t="s">
        <v>2742</v>
      </c>
      <c r="F11" s="657" t="s">
        <v>2827</v>
      </c>
      <c r="G11" s="657" t="s">
        <v>1932</v>
      </c>
      <c r="H11" s="657" t="s">
        <v>1932</v>
      </c>
      <c r="I11" s="657" t="s">
        <v>1932</v>
      </c>
      <c r="J11" s="657" t="s">
        <v>1932</v>
      </c>
      <c r="K11" s="657" t="s">
        <v>1932</v>
      </c>
      <c r="L11" s="657" t="s">
        <v>1932</v>
      </c>
      <c r="M11" s="657" t="s">
        <v>1932</v>
      </c>
      <c r="N11" s="657" t="s">
        <v>1932</v>
      </c>
      <c r="O11" s="657" t="s">
        <v>1932</v>
      </c>
      <c r="P11" s="657" t="s">
        <v>1932</v>
      </c>
    </row>
    <row r="12" spans="1:16" hidden="1">
      <c r="A12" s="657" t="s">
        <v>2743</v>
      </c>
      <c r="B12" s="657" t="s">
        <v>2744</v>
      </c>
      <c r="C12" s="656">
        <v>1</v>
      </c>
      <c r="D12" s="656">
        <v>4.7111999999999998</v>
      </c>
      <c r="E12" s="657" t="s">
        <v>2745</v>
      </c>
      <c r="F12" s="657" t="s">
        <v>2828</v>
      </c>
      <c r="G12" s="657" t="s">
        <v>1932</v>
      </c>
      <c r="H12" s="657" t="s">
        <v>1932</v>
      </c>
      <c r="I12" s="657" t="s">
        <v>1932</v>
      </c>
      <c r="J12" s="657" t="s">
        <v>1932</v>
      </c>
      <c r="K12" s="657" t="s">
        <v>1932</v>
      </c>
      <c r="L12" s="657" t="s">
        <v>1932</v>
      </c>
      <c r="M12" s="657" t="s">
        <v>1932</v>
      </c>
      <c r="N12" s="657" t="s">
        <v>1932</v>
      </c>
      <c r="O12" s="657" t="s">
        <v>1932</v>
      </c>
      <c r="P12" s="657" t="s">
        <v>1932</v>
      </c>
    </row>
    <row r="13" spans="1:16" hidden="1">
      <c r="A13" s="657" t="s">
        <v>2746</v>
      </c>
      <c r="B13" s="657" t="s">
        <v>2747</v>
      </c>
      <c r="C13" s="656">
        <v>1</v>
      </c>
      <c r="D13" s="656">
        <v>0.12</v>
      </c>
      <c r="E13" s="657" t="s">
        <v>2748</v>
      </c>
      <c r="F13" s="657" t="s">
        <v>2829</v>
      </c>
      <c r="G13" s="657" t="s">
        <v>1932</v>
      </c>
      <c r="H13" s="657" t="s">
        <v>1932</v>
      </c>
      <c r="I13" s="657" t="s">
        <v>1932</v>
      </c>
      <c r="J13" s="657" t="s">
        <v>1932</v>
      </c>
      <c r="K13" s="657" t="s">
        <v>1932</v>
      </c>
      <c r="L13" s="657" t="s">
        <v>1932</v>
      </c>
      <c r="M13" s="657" t="s">
        <v>1932</v>
      </c>
      <c r="N13" s="657" t="s">
        <v>1932</v>
      </c>
      <c r="O13" s="657" t="s">
        <v>1932</v>
      </c>
      <c r="P13" s="657" t="s">
        <v>1932</v>
      </c>
    </row>
    <row r="14" spans="1:16" hidden="1">
      <c r="A14" s="657" t="s">
        <v>2749</v>
      </c>
      <c r="B14" s="657" t="s">
        <v>2750</v>
      </c>
      <c r="C14" s="656">
        <v>100</v>
      </c>
      <c r="D14" s="656">
        <v>3.0758000000000001</v>
      </c>
      <c r="E14" s="657" t="s">
        <v>2751</v>
      </c>
      <c r="F14" s="657" t="s">
        <v>2830</v>
      </c>
      <c r="G14" s="657" t="s">
        <v>1932</v>
      </c>
      <c r="H14" s="657" t="s">
        <v>1932</v>
      </c>
      <c r="I14" s="657" t="s">
        <v>1932</v>
      </c>
      <c r="J14" s="657" t="s">
        <v>1932</v>
      </c>
      <c r="K14" s="657" t="s">
        <v>1932</v>
      </c>
      <c r="L14" s="657" t="s">
        <v>1932</v>
      </c>
      <c r="M14" s="657" t="s">
        <v>1932</v>
      </c>
      <c r="N14" s="657" t="s">
        <v>1932</v>
      </c>
      <c r="O14" s="657" t="s">
        <v>1932</v>
      </c>
      <c r="P14" s="657" t="s">
        <v>1932</v>
      </c>
    </row>
    <row r="15" spans="1:16" hidden="1">
      <c r="A15" s="657" t="s">
        <v>2752</v>
      </c>
      <c r="B15" s="657" t="s">
        <v>2753</v>
      </c>
      <c r="C15" s="656">
        <v>1</v>
      </c>
      <c r="D15" s="656">
        <v>0.16350000000000001</v>
      </c>
      <c r="E15" s="657" t="s">
        <v>2754</v>
      </c>
      <c r="F15" s="657" t="s">
        <v>2831</v>
      </c>
      <c r="G15" s="657" t="s">
        <v>1932</v>
      </c>
      <c r="H15" s="657" t="s">
        <v>1932</v>
      </c>
      <c r="I15" s="657" t="s">
        <v>1932</v>
      </c>
      <c r="J15" s="657" t="s">
        <v>1932</v>
      </c>
      <c r="K15" s="657" t="s">
        <v>1932</v>
      </c>
      <c r="L15" s="657" t="s">
        <v>1932</v>
      </c>
      <c r="M15" s="657" t="s">
        <v>1932</v>
      </c>
      <c r="N15" s="657" t="s">
        <v>1932</v>
      </c>
      <c r="O15" s="657" t="s">
        <v>1932</v>
      </c>
      <c r="P15" s="657" t="s">
        <v>1932</v>
      </c>
    </row>
    <row r="16" spans="1:16" hidden="1">
      <c r="A16" s="657" t="s">
        <v>2755</v>
      </c>
      <c r="B16" s="657" t="s">
        <v>2756</v>
      </c>
      <c r="C16" s="656">
        <v>1</v>
      </c>
      <c r="D16" s="656">
        <v>0.55920000000000003</v>
      </c>
      <c r="E16" s="657" t="s">
        <v>2757</v>
      </c>
      <c r="F16" s="657" t="s">
        <v>2832</v>
      </c>
      <c r="G16" s="657" t="s">
        <v>1932</v>
      </c>
      <c r="H16" s="657" t="s">
        <v>1932</v>
      </c>
      <c r="I16" s="657" t="s">
        <v>1932</v>
      </c>
      <c r="J16" s="657" t="s">
        <v>1932</v>
      </c>
      <c r="K16" s="657" t="s">
        <v>1932</v>
      </c>
      <c r="L16" s="657" t="s">
        <v>1932</v>
      </c>
      <c r="M16" s="657" t="s">
        <v>1932</v>
      </c>
      <c r="N16" s="657" t="s">
        <v>1932</v>
      </c>
      <c r="O16" s="657" t="s">
        <v>1932</v>
      </c>
      <c r="P16" s="657" t="s">
        <v>1932</v>
      </c>
    </row>
    <row r="17" spans="1:16" hidden="1">
      <c r="A17" s="657" t="s">
        <v>2758</v>
      </c>
      <c r="B17" s="657" t="s">
        <v>2759</v>
      </c>
      <c r="C17" s="656">
        <v>100</v>
      </c>
      <c r="D17" s="656">
        <v>3.3197999999999999</v>
      </c>
      <c r="E17" s="657" t="s">
        <v>2760</v>
      </c>
      <c r="F17" s="657" t="s">
        <v>2833</v>
      </c>
      <c r="G17" s="657" t="s">
        <v>1932</v>
      </c>
      <c r="H17" s="657" t="s">
        <v>1932</v>
      </c>
      <c r="I17" s="657" t="s">
        <v>1932</v>
      </c>
      <c r="J17" s="657" t="s">
        <v>1932</v>
      </c>
      <c r="K17" s="657" t="s">
        <v>1932</v>
      </c>
      <c r="L17" s="657" t="s">
        <v>1932</v>
      </c>
      <c r="M17" s="657" t="s">
        <v>1932</v>
      </c>
      <c r="N17" s="657" t="s">
        <v>1932</v>
      </c>
      <c r="O17" s="657" t="s">
        <v>1932</v>
      </c>
      <c r="P17" s="657" t="s">
        <v>1932</v>
      </c>
    </row>
    <row r="18" spans="1:16" hidden="1">
      <c r="A18" s="657" t="s">
        <v>2761</v>
      </c>
      <c r="B18" s="657" t="s">
        <v>2762</v>
      </c>
      <c r="C18" s="656">
        <v>1</v>
      </c>
      <c r="D18" s="656">
        <v>0.43130000000000002</v>
      </c>
      <c r="E18" s="657" t="s">
        <v>2763</v>
      </c>
      <c r="F18" s="657" t="s">
        <v>2834</v>
      </c>
      <c r="G18" s="657" t="s">
        <v>1932</v>
      </c>
      <c r="H18" s="657" t="s">
        <v>1932</v>
      </c>
      <c r="I18" s="657" t="s">
        <v>1932</v>
      </c>
      <c r="J18" s="657" t="s">
        <v>1932</v>
      </c>
      <c r="K18" s="657" t="s">
        <v>1932</v>
      </c>
      <c r="L18" s="657" t="s">
        <v>1932</v>
      </c>
      <c r="M18" s="657" t="s">
        <v>1932</v>
      </c>
      <c r="N18" s="657" t="s">
        <v>1932</v>
      </c>
      <c r="O18" s="657" t="s">
        <v>1932</v>
      </c>
      <c r="P18" s="657" t="s">
        <v>1932</v>
      </c>
    </row>
    <row r="19" spans="1:16" hidden="1">
      <c r="A19" s="657" t="s">
        <v>2764</v>
      </c>
      <c r="B19" s="657" t="s">
        <v>2765</v>
      </c>
      <c r="C19" s="656">
        <v>1</v>
      </c>
      <c r="D19" s="656">
        <v>0.42399999999999999</v>
      </c>
      <c r="E19" s="657" t="s">
        <v>2766</v>
      </c>
      <c r="F19" s="657" t="s">
        <v>2835</v>
      </c>
      <c r="G19" s="657" t="s">
        <v>1932</v>
      </c>
      <c r="H19" s="657" t="s">
        <v>1932</v>
      </c>
      <c r="I19" s="657" t="s">
        <v>1932</v>
      </c>
      <c r="J19" s="657" t="s">
        <v>1932</v>
      </c>
      <c r="K19" s="657" t="s">
        <v>1932</v>
      </c>
      <c r="L19" s="657" t="s">
        <v>1932</v>
      </c>
      <c r="M19" s="657" t="s">
        <v>1932</v>
      </c>
      <c r="N19" s="657" t="s">
        <v>1932</v>
      </c>
      <c r="O19" s="657" t="s">
        <v>1932</v>
      </c>
      <c r="P19" s="657" t="s">
        <v>1932</v>
      </c>
    </row>
    <row r="20" spans="1:16" hidden="1">
      <c r="A20" s="657" t="s">
        <v>2767</v>
      </c>
      <c r="B20" s="657" t="s">
        <v>2768</v>
      </c>
      <c r="C20" s="656">
        <v>1</v>
      </c>
      <c r="D20" s="656">
        <v>0.55979999999999996</v>
      </c>
      <c r="E20" s="657" t="s">
        <v>2769</v>
      </c>
      <c r="F20" s="657" t="s">
        <v>2836</v>
      </c>
      <c r="G20" s="657" t="s">
        <v>1932</v>
      </c>
      <c r="H20" s="657" t="s">
        <v>1932</v>
      </c>
      <c r="I20" s="657" t="s">
        <v>1932</v>
      </c>
      <c r="J20" s="657" t="s">
        <v>1932</v>
      </c>
      <c r="K20" s="657" t="s">
        <v>1932</v>
      </c>
      <c r="L20" s="657" t="s">
        <v>1932</v>
      </c>
      <c r="M20" s="657" t="s">
        <v>1932</v>
      </c>
      <c r="N20" s="657" t="s">
        <v>1932</v>
      </c>
      <c r="O20" s="657" t="s">
        <v>1932</v>
      </c>
      <c r="P20" s="657" t="s">
        <v>1932</v>
      </c>
    </row>
    <row r="21" spans="1:16" hidden="1">
      <c r="A21" s="657" t="s">
        <v>2770</v>
      </c>
      <c r="B21" s="657" t="s">
        <v>2771</v>
      </c>
      <c r="C21" s="656">
        <v>1</v>
      </c>
      <c r="D21" s="656">
        <v>0.89500000000000002</v>
      </c>
      <c r="E21" s="657" t="s">
        <v>2772</v>
      </c>
      <c r="F21" s="657" t="s">
        <v>2837</v>
      </c>
      <c r="G21" s="657" t="s">
        <v>1932</v>
      </c>
      <c r="H21" s="657" t="s">
        <v>1932</v>
      </c>
      <c r="I21" s="657" t="s">
        <v>1932</v>
      </c>
      <c r="J21" s="657" t="s">
        <v>1932</v>
      </c>
      <c r="K21" s="657" t="s">
        <v>1932</v>
      </c>
      <c r="L21" s="657" t="s">
        <v>1932</v>
      </c>
      <c r="M21" s="657" t="s">
        <v>1932</v>
      </c>
      <c r="N21" s="657" t="s">
        <v>1932</v>
      </c>
      <c r="O21" s="657" t="s">
        <v>1932</v>
      </c>
      <c r="P21" s="657" t="s">
        <v>1932</v>
      </c>
    </row>
    <row r="22" spans="1:16" hidden="1">
      <c r="A22" s="657" t="s">
        <v>2773</v>
      </c>
      <c r="B22" s="657" t="s">
        <v>2774</v>
      </c>
      <c r="C22" s="656">
        <v>1</v>
      </c>
      <c r="D22" s="656">
        <v>2.1288</v>
      </c>
      <c r="E22" s="657" t="s">
        <v>2775</v>
      </c>
      <c r="F22" s="657" t="s">
        <v>2838</v>
      </c>
      <c r="G22" s="657" t="s">
        <v>1932</v>
      </c>
      <c r="H22" s="657" t="s">
        <v>1932</v>
      </c>
      <c r="I22" s="657" t="s">
        <v>1932</v>
      </c>
      <c r="J22" s="657" t="s">
        <v>1932</v>
      </c>
      <c r="K22" s="657" t="s">
        <v>1932</v>
      </c>
      <c r="L22" s="657" t="s">
        <v>1932</v>
      </c>
      <c r="M22" s="657" t="s">
        <v>1932</v>
      </c>
      <c r="N22" s="657" t="s">
        <v>1932</v>
      </c>
      <c r="O22" s="657" t="s">
        <v>1932</v>
      </c>
      <c r="P22" s="657" t="s">
        <v>1932</v>
      </c>
    </row>
    <row r="23" spans="1:16" hidden="1">
      <c r="A23" s="657" t="s">
        <v>2776</v>
      </c>
      <c r="B23" s="657" t="s">
        <v>2777</v>
      </c>
      <c r="C23" s="656">
        <v>1</v>
      </c>
      <c r="D23" s="656">
        <v>0.90539999999999998</v>
      </c>
      <c r="E23" s="657" t="s">
        <v>2778</v>
      </c>
      <c r="F23" s="657" t="s">
        <v>2839</v>
      </c>
      <c r="G23" s="657" t="s">
        <v>1932</v>
      </c>
      <c r="H23" s="657" t="s">
        <v>1932</v>
      </c>
      <c r="I23" s="657" t="s">
        <v>1932</v>
      </c>
      <c r="J23" s="657" t="s">
        <v>1932</v>
      </c>
      <c r="K23" s="657" t="s">
        <v>1932</v>
      </c>
      <c r="L23" s="657" t="s">
        <v>1932</v>
      </c>
      <c r="M23" s="657" t="s">
        <v>1932</v>
      </c>
      <c r="N23" s="657" t="s">
        <v>1932</v>
      </c>
      <c r="O23" s="657" t="s">
        <v>1932</v>
      </c>
      <c r="P23" s="657" t="s">
        <v>1932</v>
      </c>
    </row>
    <row r="24" spans="1:16" hidden="1">
      <c r="A24" s="657" t="s">
        <v>2779</v>
      </c>
      <c r="B24" s="657" t="s">
        <v>2780</v>
      </c>
      <c r="C24" s="656">
        <v>1</v>
      </c>
      <c r="D24" s="656">
        <v>0.99790000000000001</v>
      </c>
      <c r="E24" s="657" t="s">
        <v>2781</v>
      </c>
      <c r="F24" s="657" t="s">
        <v>2840</v>
      </c>
      <c r="G24" s="657" t="s">
        <v>1932</v>
      </c>
      <c r="H24" s="657" t="s">
        <v>1932</v>
      </c>
      <c r="I24" s="657" t="s">
        <v>1932</v>
      </c>
      <c r="J24" s="657" t="s">
        <v>1932</v>
      </c>
      <c r="K24" s="657" t="s">
        <v>1932</v>
      </c>
      <c r="L24" s="657" t="s">
        <v>1932</v>
      </c>
      <c r="M24" s="657" t="s">
        <v>1932</v>
      </c>
      <c r="N24" s="657" t="s">
        <v>1932</v>
      </c>
      <c r="O24" s="657" t="s">
        <v>1932</v>
      </c>
      <c r="P24" s="657" t="s">
        <v>1932</v>
      </c>
    </row>
    <row r="25" spans="1:16" hidden="1">
      <c r="A25" s="657" t="s">
        <v>2782</v>
      </c>
      <c r="B25" s="657" t="s">
        <v>2783</v>
      </c>
      <c r="C25" s="656">
        <v>100</v>
      </c>
      <c r="D25" s="656">
        <v>0.5635</v>
      </c>
      <c r="E25" s="657" t="s">
        <v>2784</v>
      </c>
      <c r="F25" s="657" t="s">
        <v>2841</v>
      </c>
      <c r="G25" s="657" t="s">
        <v>1932</v>
      </c>
      <c r="H25" s="657" t="s">
        <v>1932</v>
      </c>
      <c r="I25" s="657" t="s">
        <v>1932</v>
      </c>
      <c r="J25" s="657" t="s">
        <v>1932</v>
      </c>
      <c r="K25" s="657" t="s">
        <v>1932</v>
      </c>
      <c r="L25" s="657" t="s">
        <v>1932</v>
      </c>
      <c r="M25" s="657" t="s">
        <v>1932</v>
      </c>
      <c r="N25" s="657" t="s">
        <v>1932</v>
      </c>
      <c r="O25" s="657" t="s">
        <v>1932</v>
      </c>
      <c r="P25" s="657" t="s">
        <v>1932</v>
      </c>
    </row>
    <row r="26" spans="1:16" hidden="1">
      <c r="A26" s="657" t="s">
        <v>2785</v>
      </c>
      <c r="B26" s="657" t="s">
        <v>2786</v>
      </c>
      <c r="C26" s="656">
        <v>1</v>
      </c>
      <c r="D26" s="656">
        <v>6.7599999999999993E-2</v>
      </c>
      <c r="E26" s="657" t="s">
        <v>2787</v>
      </c>
      <c r="F26" s="657" t="s">
        <v>2842</v>
      </c>
      <c r="G26" s="657" t="s">
        <v>1932</v>
      </c>
      <c r="H26" s="657" t="s">
        <v>1932</v>
      </c>
      <c r="I26" s="657" t="s">
        <v>1932</v>
      </c>
      <c r="J26" s="657" t="s">
        <v>1932</v>
      </c>
      <c r="K26" s="657" t="s">
        <v>1932</v>
      </c>
      <c r="L26" s="657" t="s">
        <v>1932</v>
      </c>
      <c r="M26" s="657" t="s">
        <v>1932</v>
      </c>
      <c r="N26" s="657" t="s">
        <v>1932</v>
      </c>
      <c r="O26" s="657" t="s">
        <v>1932</v>
      </c>
      <c r="P26" s="657" t="s">
        <v>1932</v>
      </c>
    </row>
    <row r="27" spans="1:16" hidden="1">
      <c r="A27" s="657" t="s">
        <v>2788</v>
      </c>
      <c r="B27" s="657" t="s">
        <v>2789</v>
      </c>
      <c r="C27" s="656">
        <v>1</v>
      </c>
      <c r="D27" s="656">
        <v>0.1802</v>
      </c>
      <c r="E27" s="657" t="s">
        <v>2790</v>
      </c>
      <c r="F27" s="657" t="s">
        <v>2843</v>
      </c>
      <c r="G27" s="657" t="s">
        <v>1932</v>
      </c>
      <c r="H27" s="657" t="s">
        <v>1932</v>
      </c>
      <c r="I27" s="657" t="s">
        <v>1932</v>
      </c>
      <c r="J27" s="657" t="s">
        <v>1932</v>
      </c>
      <c r="K27" s="657" t="s">
        <v>1932</v>
      </c>
      <c r="L27" s="657" t="s">
        <v>1932</v>
      </c>
      <c r="M27" s="657" t="s">
        <v>1932</v>
      </c>
      <c r="N27" s="657" t="s">
        <v>1932</v>
      </c>
      <c r="O27" s="657" t="s">
        <v>1932</v>
      </c>
      <c r="P27" s="657" t="s">
        <v>1932</v>
      </c>
    </row>
    <row r="28" spans="1:16" hidden="1">
      <c r="A28" s="657" t="s">
        <v>2791</v>
      </c>
      <c r="B28" s="657" t="s">
        <v>2792</v>
      </c>
      <c r="C28" s="656">
        <v>1</v>
      </c>
      <c r="D28" s="656">
        <v>0.28000000000000003</v>
      </c>
      <c r="E28" s="657" t="s">
        <v>2793</v>
      </c>
      <c r="F28" s="657" t="s">
        <v>2844</v>
      </c>
      <c r="G28" s="657" t="s">
        <v>1932</v>
      </c>
      <c r="H28" s="657" t="s">
        <v>1932</v>
      </c>
      <c r="I28" s="657" t="s">
        <v>1932</v>
      </c>
      <c r="J28" s="657" t="s">
        <v>1932</v>
      </c>
      <c r="K28" s="657" t="s">
        <v>1932</v>
      </c>
      <c r="L28" s="657" t="s">
        <v>1932</v>
      </c>
      <c r="M28" s="657" t="s">
        <v>1932</v>
      </c>
      <c r="N28" s="657" t="s">
        <v>1932</v>
      </c>
      <c r="O28" s="657" t="s">
        <v>1932</v>
      </c>
      <c r="P28" s="657" t="s">
        <v>1932</v>
      </c>
    </row>
    <row r="29" spans="1:16" hidden="1">
      <c r="A29" s="657" t="s">
        <v>2794</v>
      </c>
      <c r="B29" s="657" t="s">
        <v>2795</v>
      </c>
      <c r="C29" s="656">
        <v>1</v>
      </c>
      <c r="D29" s="656">
        <v>1.0623</v>
      </c>
      <c r="E29" s="657" t="s">
        <v>2796</v>
      </c>
      <c r="F29" s="657" t="s">
        <v>2845</v>
      </c>
      <c r="G29" s="657" t="s">
        <v>1932</v>
      </c>
      <c r="H29" s="657" t="s">
        <v>1932</v>
      </c>
      <c r="I29" s="657" t="s">
        <v>1932</v>
      </c>
      <c r="J29" s="657" t="s">
        <v>1932</v>
      </c>
      <c r="K29" s="657" t="s">
        <v>1932</v>
      </c>
      <c r="L29" s="657" t="s">
        <v>1932</v>
      </c>
      <c r="M29" s="657" t="s">
        <v>1932</v>
      </c>
      <c r="N29" s="657" t="s">
        <v>1932</v>
      </c>
      <c r="O29" s="657" t="s">
        <v>1932</v>
      </c>
      <c r="P29" s="657" t="s">
        <v>1932</v>
      </c>
    </row>
    <row r="30" spans="1:16" hidden="1">
      <c r="A30" s="657" t="s">
        <v>2797</v>
      </c>
      <c r="B30" s="657" t="s">
        <v>2798</v>
      </c>
      <c r="C30" s="656">
        <v>1</v>
      </c>
      <c r="D30" s="656">
        <v>0.86339999999999995</v>
      </c>
      <c r="E30" s="657" t="s">
        <v>2799</v>
      </c>
      <c r="F30" s="657" t="s">
        <v>2846</v>
      </c>
      <c r="G30" s="657" t="s">
        <v>1932</v>
      </c>
      <c r="H30" s="657" t="s">
        <v>1932</v>
      </c>
      <c r="I30" s="657" t="s">
        <v>1932</v>
      </c>
      <c r="J30" s="657" t="s">
        <v>1932</v>
      </c>
      <c r="K30" s="657" t="s">
        <v>1932</v>
      </c>
      <c r="L30" s="657" t="s">
        <v>1932</v>
      </c>
      <c r="M30" s="657" t="s">
        <v>1932</v>
      </c>
      <c r="N30" s="657" t="s">
        <v>1932</v>
      </c>
      <c r="O30" s="657" t="s">
        <v>1932</v>
      </c>
      <c r="P30" s="657" t="s">
        <v>1932</v>
      </c>
    </row>
    <row r="31" spans="1:16" hidden="1">
      <c r="A31" s="657" t="s">
        <v>2800</v>
      </c>
      <c r="B31" s="657" t="s">
        <v>2801</v>
      </c>
      <c r="C31" s="656">
        <v>1</v>
      </c>
      <c r="D31" s="656">
        <v>6.0299999999999999E-2</v>
      </c>
      <c r="E31" s="657" t="s">
        <v>2802</v>
      </c>
      <c r="F31" s="657" t="s">
        <v>2847</v>
      </c>
      <c r="G31" s="657" t="s">
        <v>1932</v>
      </c>
      <c r="H31" s="657" t="s">
        <v>1932</v>
      </c>
      <c r="I31" s="657" t="s">
        <v>1932</v>
      </c>
      <c r="J31" s="657" t="s">
        <v>1932</v>
      </c>
      <c r="K31" s="657" t="s">
        <v>1932</v>
      </c>
      <c r="L31" s="657" t="s">
        <v>1932</v>
      </c>
      <c r="M31" s="657" t="s">
        <v>1932</v>
      </c>
      <c r="N31" s="657" t="s">
        <v>1932</v>
      </c>
      <c r="O31" s="657" t="s">
        <v>1932</v>
      </c>
      <c r="P31" s="657" t="s">
        <v>1932</v>
      </c>
    </row>
    <row r="32" spans="1:16" hidden="1">
      <c r="A32" s="657" t="s">
        <v>2803</v>
      </c>
      <c r="B32" s="657" t="s">
        <v>2804</v>
      </c>
      <c r="C32" s="656">
        <v>10000</v>
      </c>
      <c r="D32" s="656">
        <v>2.5520999999999998</v>
      </c>
      <c r="E32" s="657" t="s">
        <v>2805</v>
      </c>
      <c r="F32" s="657" t="s">
        <v>2848</v>
      </c>
      <c r="G32" s="657" t="s">
        <v>1932</v>
      </c>
      <c r="H32" s="657" t="s">
        <v>1932</v>
      </c>
      <c r="I32" s="657" t="s">
        <v>1932</v>
      </c>
      <c r="J32" s="657" t="s">
        <v>1932</v>
      </c>
      <c r="K32" s="657" t="s">
        <v>1932</v>
      </c>
      <c r="L32" s="657" t="s">
        <v>1932</v>
      </c>
      <c r="M32" s="657" t="s">
        <v>1932</v>
      </c>
      <c r="N32" s="657" t="s">
        <v>1932</v>
      </c>
      <c r="O32" s="657" t="s">
        <v>1932</v>
      </c>
      <c r="P32" s="657" t="s">
        <v>1932</v>
      </c>
    </row>
    <row r="33" spans="1:16" hidden="1">
      <c r="A33" s="657" t="s">
        <v>2806</v>
      </c>
      <c r="B33" s="657" t="s">
        <v>2807</v>
      </c>
      <c r="C33" s="656">
        <v>100</v>
      </c>
      <c r="D33" s="656">
        <v>5.3650000000000002</v>
      </c>
      <c r="E33" s="657" t="s">
        <v>2808</v>
      </c>
      <c r="F33" s="657" t="s">
        <v>2849</v>
      </c>
      <c r="G33" s="657" t="s">
        <v>1932</v>
      </c>
      <c r="H33" s="657" t="s">
        <v>1932</v>
      </c>
      <c r="I33" s="657" t="s">
        <v>1932</v>
      </c>
      <c r="J33" s="657" t="s">
        <v>1932</v>
      </c>
      <c r="K33" s="657" t="s">
        <v>1932</v>
      </c>
      <c r="L33" s="657" t="s">
        <v>1932</v>
      </c>
      <c r="M33" s="657" t="s">
        <v>1932</v>
      </c>
      <c r="N33" s="657" t="s">
        <v>1932</v>
      </c>
      <c r="O33" s="657" t="s">
        <v>1932</v>
      </c>
      <c r="P33" s="657" t="s">
        <v>1932</v>
      </c>
    </row>
    <row r="34" spans="1:16" hidden="1">
      <c r="A34" s="657" t="s">
        <v>2809</v>
      </c>
      <c r="B34" s="657" t="s">
        <v>2810</v>
      </c>
      <c r="C34" s="656">
        <v>100</v>
      </c>
      <c r="D34" s="656">
        <v>0.32040000000000002</v>
      </c>
      <c r="E34" s="657" t="s">
        <v>2811</v>
      </c>
      <c r="F34" s="657" t="s">
        <v>2850</v>
      </c>
      <c r="G34" s="657" t="s">
        <v>1932</v>
      </c>
      <c r="H34" s="657" t="s">
        <v>1932</v>
      </c>
      <c r="I34" s="657" t="s">
        <v>1932</v>
      </c>
      <c r="J34" s="657" t="s">
        <v>1932</v>
      </c>
      <c r="K34" s="657" t="s">
        <v>1932</v>
      </c>
      <c r="L34" s="657" t="s">
        <v>1932</v>
      </c>
      <c r="M34" s="657" t="s">
        <v>1932</v>
      </c>
      <c r="N34" s="657" t="s">
        <v>1932</v>
      </c>
      <c r="O34" s="657" t="s">
        <v>1932</v>
      </c>
      <c r="P34" s="657" t="s">
        <v>1932</v>
      </c>
    </row>
    <row r="35" spans="1:16" hidden="1">
      <c r="A35" s="657" t="s">
        <v>2812</v>
      </c>
      <c r="B35" s="657" t="s">
        <v>2813</v>
      </c>
      <c r="C35" s="656">
        <v>1</v>
      </c>
      <c r="D35" s="656">
        <v>0.53110000000000002</v>
      </c>
      <c r="E35" s="657" t="s">
        <v>2814</v>
      </c>
      <c r="F35" s="657" t="s">
        <v>2851</v>
      </c>
      <c r="G35" s="657" t="s">
        <v>1932</v>
      </c>
      <c r="H35" s="657" t="s">
        <v>1932</v>
      </c>
      <c r="I35" s="657" t="s">
        <v>1932</v>
      </c>
      <c r="J35" s="657" t="s">
        <v>1932</v>
      </c>
      <c r="K35" s="657" t="s">
        <v>1932</v>
      </c>
      <c r="L35" s="657" t="s">
        <v>1932</v>
      </c>
      <c r="M35" s="657" t="s">
        <v>1932</v>
      </c>
      <c r="N35" s="657" t="s">
        <v>1932</v>
      </c>
      <c r="O35" s="657" t="s">
        <v>1932</v>
      </c>
      <c r="P35" s="657" t="s">
        <v>1932</v>
      </c>
    </row>
    <row r="36" spans="1:16" hidden="1">
      <c r="A36" s="657" t="s">
        <v>2815</v>
      </c>
      <c r="B36" s="657" t="s">
        <v>2816</v>
      </c>
      <c r="C36" s="656">
        <v>1</v>
      </c>
      <c r="D36" s="656">
        <v>4.9149000000000003</v>
      </c>
      <c r="E36" s="657" t="s">
        <v>2817</v>
      </c>
      <c r="F36" s="657" t="s">
        <v>2852</v>
      </c>
      <c r="G36" s="657" t="s">
        <v>1932</v>
      </c>
      <c r="H36" s="657" t="s">
        <v>1932</v>
      </c>
      <c r="I36" s="657" t="s">
        <v>1932</v>
      </c>
      <c r="J36" s="657" t="s">
        <v>1932</v>
      </c>
      <c r="K36" s="657" t="s">
        <v>1932</v>
      </c>
      <c r="L36" s="657" t="s">
        <v>1932</v>
      </c>
      <c r="M36" s="657" t="s">
        <v>1932</v>
      </c>
      <c r="N36" s="657" t="s">
        <v>1932</v>
      </c>
      <c r="O36" s="657" t="s">
        <v>1932</v>
      </c>
      <c r="P36" s="657" t="s">
        <v>1932</v>
      </c>
    </row>
    <row r="37" spans="1:16">
      <c r="A37" s="658" t="s">
        <v>2549</v>
      </c>
      <c r="B37" s="658"/>
      <c r="C37" s="658"/>
      <c r="D37" s="658"/>
      <c r="E37" s="658"/>
      <c r="F37" s="658"/>
      <c r="G37" s="658"/>
      <c r="H37" s="658"/>
      <c r="I37" s="658"/>
      <c r="J37" s="658"/>
      <c r="K37" s="658"/>
      <c r="L37" s="658"/>
      <c r="M37" s="658"/>
      <c r="N37" s="658"/>
      <c r="O37" s="658"/>
      <c r="P37" s="658">
        <f>SUBTOTAL(103,publ_sredni_m_2018[Column1])</f>
        <v>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0"/>
  <dimension ref="A1:DO19"/>
  <sheetViews>
    <sheetView workbookViewId="0">
      <selection activeCell="DC7" sqref="DC7"/>
    </sheetView>
  </sheetViews>
  <sheetFormatPr defaultRowHeight="13.2"/>
  <cols>
    <col min="1" max="1" width="12.6640625" style="2" bestFit="1" customWidth="1"/>
    <col min="2" max="2" width="5.88671875" bestFit="1" customWidth="1"/>
    <col min="3" max="4" width="21.6640625" bestFit="1" customWidth="1"/>
    <col min="5" max="5" width="25.33203125" bestFit="1" customWidth="1"/>
    <col min="6" max="6" width="23.44140625" bestFit="1" customWidth="1"/>
    <col min="7" max="7" width="43.6640625" bestFit="1" customWidth="1"/>
    <col min="8" max="8" width="15.5546875" bestFit="1" customWidth="1"/>
    <col min="9" max="9" width="26.88671875" bestFit="1" customWidth="1"/>
    <col min="10" max="10" width="20.6640625" bestFit="1" customWidth="1"/>
    <col min="11" max="11" width="45.109375" bestFit="1" customWidth="1"/>
    <col min="12" max="12" width="21.6640625" bestFit="1" customWidth="1"/>
    <col min="13" max="13" width="27" bestFit="1" customWidth="1"/>
    <col min="14" max="14" width="34.88671875" bestFit="1" customWidth="1"/>
    <col min="15" max="15" width="35.44140625" bestFit="1" customWidth="1"/>
    <col min="16" max="16" width="17.6640625" customWidth="1"/>
    <col min="17" max="17" width="46" bestFit="1" customWidth="1"/>
    <col min="18" max="18" width="34.44140625" bestFit="1" customWidth="1"/>
    <col min="19" max="19" width="29.44140625" bestFit="1" customWidth="1"/>
    <col min="20" max="20" width="50.88671875" bestFit="1" customWidth="1"/>
    <col min="21" max="21" width="48.109375" bestFit="1" customWidth="1"/>
    <col min="22" max="22" width="46.33203125" bestFit="1" customWidth="1"/>
    <col min="23" max="23" width="50.88671875" bestFit="1" customWidth="1"/>
    <col min="24" max="24" width="33.5546875" bestFit="1" customWidth="1"/>
    <col min="25" max="25" width="12.88671875" bestFit="1" customWidth="1"/>
    <col min="26" max="26" width="38.88671875" bestFit="1" customWidth="1"/>
    <col min="27" max="27" width="30.6640625" bestFit="1" customWidth="1"/>
    <col min="28" max="28" width="36.109375" bestFit="1" customWidth="1"/>
    <col min="29" max="29" width="41.5546875" bestFit="1" customWidth="1"/>
    <col min="30" max="30" width="41" bestFit="1" customWidth="1"/>
    <col min="31" max="31" width="14.88671875" bestFit="1" customWidth="1"/>
    <col min="32" max="32" width="6.33203125" bestFit="1" customWidth="1"/>
    <col min="33" max="33" width="98" bestFit="1" customWidth="1"/>
    <col min="34" max="34" width="44.44140625" customWidth="1"/>
    <col min="35" max="35" width="12.88671875" bestFit="1" customWidth="1"/>
    <col min="36" max="36" width="19.44140625" bestFit="1" customWidth="1"/>
    <col min="37" max="37" width="51" bestFit="1" customWidth="1"/>
    <col min="38" max="38" width="55" bestFit="1" customWidth="1"/>
    <col min="39" max="39" width="55.33203125" bestFit="1" customWidth="1"/>
    <col min="40" max="40" width="30.88671875" customWidth="1"/>
    <col min="41" max="41" width="26.33203125" bestFit="1" customWidth="1"/>
    <col min="42" max="42" width="25.109375" bestFit="1" customWidth="1"/>
    <col min="43" max="43" width="20.88671875" bestFit="1" customWidth="1"/>
    <col min="44" max="44" width="9.44140625" bestFit="1" customWidth="1"/>
    <col min="45" max="45" width="23.88671875" bestFit="1" customWidth="1"/>
    <col min="46" max="46" width="22" bestFit="1" customWidth="1"/>
    <col min="47" max="47" width="27.6640625" bestFit="1" customWidth="1"/>
    <col min="48" max="48" width="16.109375" bestFit="1" customWidth="1"/>
    <col min="49" max="49" width="26.88671875" bestFit="1" customWidth="1"/>
    <col min="50" max="50" width="21.44140625" bestFit="1" customWidth="1"/>
    <col min="51" max="51" width="23.88671875" bestFit="1" customWidth="1"/>
    <col min="52" max="52" width="27.44140625" bestFit="1" customWidth="1"/>
    <col min="53" max="53" width="21.44140625" bestFit="1" customWidth="1"/>
    <col min="54" max="55" width="16" bestFit="1" customWidth="1"/>
    <col min="56" max="56" width="22.44140625" bestFit="1" customWidth="1"/>
    <col min="57" max="57" width="18.5546875" bestFit="1" customWidth="1"/>
    <col min="58" max="58" width="16.109375" bestFit="1" customWidth="1"/>
    <col min="59" max="59" width="12.88671875" bestFit="1" customWidth="1"/>
    <col min="60" max="60" width="13.33203125" customWidth="1"/>
    <col min="61" max="62" width="13.44140625" bestFit="1" customWidth="1"/>
    <col min="63" max="63" width="28.5546875" bestFit="1" customWidth="1"/>
    <col min="64" max="64" width="19.5546875" bestFit="1" customWidth="1"/>
    <col min="65" max="65" width="21" bestFit="1" customWidth="1"/>
    <col min="66" max="67" width="14.6640625" bestFit="1" customWidth="1"/>
    <col min="68" max="68" width="15" bestFit="1" customWidth="1"/>
    <col min="69" max="69" width="27" bestFit="1" customWidth="1"/>
    <col min="70" max="70" width="24.44140625" bestFit="1" customWidth="1"/>
    <col min="71" max="71" width="30.109375" bestFit="1" customWidth="1"/>
    <col min="72" max="72" width="13.44140625" bestFit="1" customWidth="1"/>
    <col min="73" max="73" width="29.33203125" bestFit="1" customWidth="1"/>
    <col min="74" max="74" width="26.88671875" bestFit="1" customWidth="1"/>
    <col min="75" max="75" width="28.109375" bestFit="1" customWidth="1"/>
    <col min="76" max="76" width="22" bestFit="1" customWidth="1"/>
    <col min="77" max="77" width="27.6640625" bestFit="1" customWidth="1"/>
    <col min="78" max="78" width="16.109375" bestFit="1" customWidth="1"/>
    <col min="79" max="79" width="26" bestFit="1" customWidth="1"/>
    <col min="80" max="80" width="21.44140625" bestFit="1" customWidth="1"/>
    <col min="81" max="81" width="16.6640625" bestFit="1" customWidth="1"/>
    <col min="82" max="82" width="26.5546875" bestFit="1" customWidth="1"/>
    <col min="83" max="83" width="32.109375" bestFit="1" customWidth="1"/>
    <col min="84" max="84" width="13.44140625" bestFit="1" customWidth="1"/>
    <col min="85" max="85" width="6.109375" bestFit="1" customWidth="1"/>
    <col min="86" max="86" width="37.109375" bestFit="1" customWidth="1"/>
    <col min="87" max="87" width="43" bestFit="1" customWidth="1"/>
    <col min="88" max="88" width="20" bestFit="1" customWidth="1"/>
    <col min="89" max="89" width="14.6640625" bestFit="1" customWidth="1"/>
    <col min="90" max="90" width="28" bestFit="1" customWidth="1"/>
    <col min="91" max="92" width="32" bestFit="1" customWidth="1"/>
    <col min="93" max="93" width="30.109375" bestFit="1" customWidth="1"/>
    <col min="94" max="94" width="13.44140625" bestFit="1" customWidth="1"/>
    <col min="95" max="95" width="19.33203125" bestFit="1" customWidth="1"/>
    <col min="96" max="96" width="23.5546875" bestFit="1" customWidth="1"/>
    <col min="97" max="97" width="14.109375" bestFit="1" customWidth="1"/>
    <col min="98" max="98" width="12.88671875" bestFit="1" customWidth="1"/>
    <col min="104" max="104" width="30.6640625" bestFit="1" customWidth="1"/>
    <col min="105" max="105" width="13.44140625" bestFit="1" customWidth="1"/>
    <col min="106" max="106" width="12.88671875" bestFit="1" customWidth="1"/>
    <col min="107" max="107" width="27" bestFit="1" customWidth="1"/>
    <col min="108" max="108" width="25.88671875" bestFit="1" customWidth="1"/>
    <col min="109" max="109" width="18.44140625" bestFit="1" customWidth="1"/>
    <col min="110" max="110" width="12.88671875" bestFit="1" customWidth="1"/>
  </cols>
  <sheetData>
    <row r="1" spans="1:119">
      <c r="A1" s="110" t="s">
        <v>2266</v>
      </c>
      <c r="B1" t="str">
        <f>KSO_odpady!A9</f>
        <v>Opcja</v>
      </c>
      <c r="C1" s="2"/>
      <c r="D1" s="2"/>
      <c r="E1" s="2" t="str">
        <f>KSO_odpady!D9</f>
        <v>Kod odpadu *w ofercie SUEZ</v>
      </c>
      <c r="F1" s="2"/>
      <c r="G1" s="2"/>
      <c r="H1" s="2"/>
      <c r="I1" s="2"/>
      <c r="J1" s="2"/>
      <c r="K1" s="2" t="str">
        <f>KSO_odpady!J9</f>
        <v>Break_point_ap</v>
      </c>
      <c r="L1" s="2"/>
      <c r="M1" s="2"/>
      <c r="N1" s="2"/>
      <c r="O1" s="2"/>
      <c r="P1" s="2" t="str">
        <f>KSO_odpady!O9</f>
        <v>Break_point_ak</v>
      </c>
      <c r="Q1" s="2" t="str">
        <f>KSO_odpady!P9</f>
        <v xml:space="preserve">Adres Razem
</v>
      </c>
      <c r="R1" s="2" t="str">
        <f>KSO_odpady!Q9</f>
        <v>Break_point_sgp</v>
      </c>
      <c r="S1" s="2"/>
      <c r="T1" s="2"/>
      <c r="U1" s="2" t="str">
        <f>KSO_odpady!T9</f>
        <v>Rodzaj sprzętu w ofercie SUEZ (pojemniki i urządzenia)</v>
      </c>
      <c r="V1" s="2"/>
      <c r="W1" s="2"/>
      <c r="X1" s="2"/>
      <c r="Y1" s="2"/>
      <c r="Z1" s="2" t="str">
        <f>KSO_odpady!Y9</f>
        <v>Break_point_sgk</v>
      </c>
      <c r="AA1" s="2" t="str">
        <f>KSO_odpady!Z9</f>
        <v xml:space="preserve">Pojemniki Razem
</v>
      </c>
      <c r="AB1" s="2" t="str">
        <f>KSO_odpady!AA9</f>
        <v>Break_point_1</v>
      </c>
      <c r="AC1" s="2"/>
      <c r="AD1" s="2"/>
      <c r="AE1" s="2"/>
      <c r="AF1" s="2"/>
      <c r="AG1" s="2"/>
      <c r="AH1" s="2"/>
      <c r="AI1" s="2"/>
      <c r="AJ1" s="2"/>
      <c r="AK1" s="2"/>
      <c r="AL1" s="2" t="str">
        <f>KSO_odpady!AK9</f>
        <v>Break_point_2</v>
      </c>
      <c r="AM1" s="2" t="str">
        <f>KSO_odpady!AL9</f>
        <v>Wyceniający (inicjały)</v>
      </c>
      <c r="AN1" s="2" t="str">
        <f>KSO_odpady!AM9</f>
        <v>SPÓŁKA</v>
      </c>
      <c r="AO1" s="2" t="str">
        <f>KSO_odpady!AN9</f>
        <v xml:space="preserve">Instalacja </v>
      </c>
      <c r="AP1" s="2" t="str">
        <f>KSO_odpady!AO9</f>
        <v>Termin płatności odbiorcy/ podwykonawcy (dni) INFORMACJA WEWNĘTRZNA SUEZ</v>
      </c>
      <c r="AQ1" s="2" t="str">
        <f>KSO_odpady!AP9</f>
        <v>Proces zagospodarowania</v>
      </c>
      <c r="AR1" s="2" t="str">
        <f>KSO_odpady!AQ9</f>
        <v>Komentarz uzupełniajacy INFORMACJA WEWNĘTRZNA SUEZ</v>
      </c>
      <c r="AS1" s="2" t="str">
        <f>KSO_odpady!AR9</f>
        <v>Uwagi logistyczne dla Klienta (np. sposób transportu, inne)</v>
      </c>
      <c r="AT1" s="2" t="str">
        <f>KSO_odpady!AS9</f>
        <v>Min partia transportowa</v>
      </c>
      <c r="AU1" s="2" t="str">
        <f>KSO_odpady!AT9</f>
        <v>Termin obowiązywania oferty</v>
      </c>
      <c r="AV1" s="2" t="str">
        <f>KSO_odpady!AU9</f>
        <v>Wymagania jakościowe</v>
      </c>
      <c r="AW1" s="2" t="str">
        <f>KSO_odpady!AV9</f>
        <v>Jednostka</v>
      </c>
      <c r="AX1" s="2" t="str">
        <f>KSO_odpady!AW9</f>
        <v>Break_point_5</v>
      </c>
      <c r="AY1" s="2" t="str">
        <f>KSO_odpady!AX9</f>
        <v>Wyrównianie do wskaźnika</v>
      </c>
      <c r="AZ1" s="2" t="str">
        <f>KSO_odpady!AY9</f>
        <v>Przychód z odsprzedaży Spółki</v>
      </c>
      <c r="BA1" s="2" t="str">
        <f>KSO_odpady!AZ9</f>
        <v>Koszt zagospodarowania/usługi Spółki</v>
      </c>
      <c r="BB1" s="2" t="str">
        <f>KSO_odpady!BA9</f>
        <v>Transport (zł/kurs) 
spółka</v>
      </c>
      <c r="BC1" s="2" t="str">
        <f>KSO_odpady!BB9</f>
        <v>Partia transportowa (Mg/kurs)
spółka</v>
      </c>
      <c r="BD1" s="2" t="str">
        <f>KSO_odpady!BC9</f>
        <v>Koszt transportu (zł/Mg)
spółka</v>
      </c>
      <c r="BE1" s="2" t="str">
        <f>KSO_odpady!BD9</f>
        <v>Transport (zł/kurs)
spółka</v>
      </c>
      <c r="BF1" s="2" t="str">
        <f>KSO_odpady!BE9</f>
        <v>Partia transportowa (Mg/kurs) 
spółka</v>
      </c>
      <c r="BG1" s="2" t="str">
        <f>KSO_odpady!BF9</f>
        <v>Koszt transportu do instalacji (zł/Mg)
spółka</v>
      </c>
      <c r="BH1" s="2" t="str">
        <f>KSO_odpady!BG9</f>
        <v xml:space="preserve">Jednostka  </v>
      </c>
      <c r="BI1" s="2" t="str">
        <f>KSO_odpady!BH9</f>
        <v>Suma kosztów Spółki
(odpady)</v>
      </c>
      <c r="BJ1" s="2" t="str">
        <f>KSO_odpady!BI9</f>
        <v>Suma kosztów Spółki
(transport)</v>
      </c>
      <c r="BK1" s="2" t="str">
        <f>KSO_odpady!BJ9</f>
        <v>Marża Spółki
(odpady)</v>
      </c>
      <c r="BL1" s="2" t="str">
        <f>KSO_odpady!BK9</f>
        <v>Marża Spółki
(transport)</v>
      </c>
      <c r="BM1" s="2" t="str">
        <f>KSO_odpady!BL9</f>
        <v>Break_point_6</v>
      </c>
      <c r="BN1" s="2" t="str">
        <f>KSO_odpady!BM9</f>
        <v>Wyrównanie do wskaźnika Spółka</v>
      </c>
      <c r="BO1" s="2" t="str">
        <f>KSO_odpady!BN9</f>
        <v>Przychód z odsprzedaży</v>
      </c>
      <c r="BP1" s="2" t="str">
        <f>KSO_odpady!BO9</f>
        <v>Koszt zagospodarowania/usługi</v>
      </c>
      <c r="BQ1" s="2" t="str">
        <f>KSO_odpady!BP9</f>
        <v>Break_point_7</v>
      </c>
      <c r="BR1" s="2" t="str">
        <f>KSO_odpady!BQ9</f>
        <v>Rentowność Spółki
(odpady)
(%)</v>
      </c>
      <c r="BS1" s="2" t="str">
        <f>KSO_odpady!BR9</f>
        <v>Rentowność Spółki
(transport)
(%)</v>
      </c>
      <c r="BT1" s="2" t="str">
        <f>KSO_odpady!BS9</f>
        <v>Obrót Spółki 
(odpady)
 (PLN/rok)</v>
      </c>
      <c r="BU1" s="2" t="str">
        <f>KSO_odpady!BT9</f>
        <v>Obrót Spółki 
(transport)
 (PLN/rok)</v>
      </c>
      <c r="BV1" s="2" t="str">
        <f>KSO_odpady!BU9</f>
        <v>Zysk Spółki
(odpady)
 (PLN/rok)</v>
      </c>
      <c r="BW1" s="2" t="str">
        <f>KSO_odpady!BV9</f>
        <v>Zysk Spółki
(transport)
 (PLN/rok)</v>
      </c>
      <c r="BX1" s="2" t="str">
        <f>KSO_odpady!BW9</f>
        <v>Spółka płaci SUEZ Polska (PLN/rok)</v>
      </c>
      <c r="BY1" s="2" t="str">
        <f>KSO_odpady!BX9</f>
        <v>SUEZ Polska płaci Spółce (PLN/rok)</v>
      </c>
      <c r="BZ1" s="2" t="str">
        <f>KSO_odpady!BY9</f>
        <v>Szacunkowa ilość odpadu dla Spółki
(Mg/rok)</v>
      </c>
      <c r="CA1" s="2" t="str">
        <f>KSO_odpady!BZ9</f>
        <v>Rodzaj odpadu Spółki</v>
      </c>
      <c r="CB1" s="2" t="str">
        <f>KSO_odpady!CA9</f>
        <v>Break_point_dkp</v>
      </c>
      <c r="CC1" s="2" t="str">
        <f>KSO_odpady!CB9</f>
        <v>Transport (zł/kurs)</v>
      </c>
      <c r="CD1" s="2" t="str">
        <f>KSO_odpady!CC9</f>
        <v>Partia transportowa (Mg/kurs)</v>
      </c>
      <c r="CE1" s="2" t="str">
        <f>KSO_odpady!CD9</f>
        <v>Koszt transportu (zł/Mg)</v>
      </c>
      <c r="CF1" s="2" t="str">
        <f>KSO_odpady!CE9</f>
        <v>Transport  (zł/kurs)</v>
      </c>
      <c r="CG1" s="2" t="str">
        <f>KSO_odpady!CF9</f>
        <v xml:space="preserve">Partia transportowa (Mg/kurs) </v>
      </c>
      <c r="CH1" s="2" t="str">
        <f>KSO_odpady!CG9</f>
        <v xml:space="preserve">Koszt transportu (zł/Mg) </v>
      </c>
      <c r="CI1" s="2" t="str">
        <f>KSO_odpady!CH9</f>
        <v>Dzierżawa (zł/m-c)</v>
      </c>
      <c r="CJ1" s="2" t="str">
        <f>KSO_odpady!CI9</f>
        <v>Dzierżawa (zł/Mg)</v>
      </c>
      <c r="CK1" s="2" t="str">
        <f>KSO_odpady!CJ9</f>
        <v>Koszty dodatkowe (zł/Mg)</v>
      </c>
      <c r="CL1" s="2" t="str">
        <f>KSO_odpady!CK9</f>
        <v>Koszt sprzętu (zł/Mg)</v>
      </c>
      <c r="CM1" s="2" t="str">
        <f>KSO_odpady!CL9</f>
        <v>Koszt ludzi (zł/Mg)</v>
      </c>
      <c r="CN1" s="2" t="str">
        <f>KSO_odpady!CM9</f>
        <v>Break_point_dkk</v>
      </c>
      <c r="CO1" s="2" t="str">
        <f>KSO_odpady!CN9</f>
        <v xml:space="preserve">Jednostka </v>
      </c>
      <c r="CP1" s="2" t="str">
        <f>KSO_odpady!CO9</f>
        <v>Suma kosztów</v>
      </c>
      <c r="CQ1" s="2" t="str">
        <f>KSO_odpady!CP9</f>
        <v>Marża</v>
      </c>
      <c r="CR1" s="2" t="str">
        <f>KSO_odpady!CQ9</f>
        <v>Wyrównanie do wskaźnika dla Klienta</v>
      </c>
      <c r="CS1" s="2" t="str">
        <f>KSO_odpady!CR9</f>
        <v>Cena netto płaci SUEZ</v>
      </c>
      <c r="CT1" s="2" t="str">
        <f>KSO_odpady!CS9</f>
        <v>Cena netto dla Klienta</v>
      </c>
      <c r="CU1" s="2" t="str">
        <f>KSO_odpady!CT9</f>
        <v>Rentowność (%)</v>
      </c>
      <c r="CV1" s="2" t="str">
        <f>KSO_odpady!CU9</f>
        <v xml:space="preserve">Obrót (PLN/rok) </v>
      </c>
      <c r="CW1" s="2" t="str">
        <f>KSO_odpady!CV9</f>
        <v>Zysk (PLN/rok)</v>
      </c>
      <c r="CX1" s="2" t="str">
        <f>KSO_odpady!CW9</f>
        <v>SUEZ płaci Klientowi (PLN/rok)</v>
      </c>
      <c r="CY1" s="2" t="str">
        <f>KSO_odpady!CX9</f>
        <v>Klient płaci SUEZ (PLN/rok)</v>
      </c>
      <c r="CZ1" s="2" t="str">
        <f>KSO_odpady!CY9</f>
        <v>Szacunkowa ilość odpadu (Mg/rok)</v>
      </c>
      <c r="DA1" s="2" t="str">
        <f>KSO_odpady!CZ9</f>
        <v>Rodzaj odpadu</v>
      </c>
      <c r="DB1" s="2" t="str">
        <f>KSO_odpady!DA9</f>
        <v>Break_point_4</v>
      </c>
      <c r="DC1" s="2" t="str">
        <f>KSO_odpady!DB9</f>
        <v>Rentowność SUEZ Razem (%)</v>
      </c>
      <c r="DD1" s="2" t="str">
        <f>KSO_odpady!DC9</f>
        <v>Zysk SUEZ Razem [PLN/rok]</v>
      </c>
      <c r="DE1" s="2" t="str">
        <f>KSO_odpady!DD9</f>
        <v>Obrót max (PLN/rok)</v>
      </c>
      <c r="DF1" s="2" t="str">
        <f>KSO_odpady!DE9</f>
        <v>Break_point_8</v>
      </c>
      <c r="DG1" s="2"/>
      <c r="DH1" s="2"/>
      <c r="DI1" s="2"/>
      <c r="DJ1" s="2"/>
      <c r="DK1" s="2"/>
      <c r="DL1" s="2"/>
      <c r="DM1" s="2"/>
      <c r="DN1" s="2"/>
      <c r="DO1" s="2"/>
    </row>
    <row r="2" spans="1:119" s="2" customFormat="1">
      <c r="A2" s="110" t="s">
        <v>2267</v>
      </c>
      <c r="D2" s="2" t="str">
        <f>KSO_odpady!C9</f>
        <v>Kod odpadu 
*u Klienta</v>
      </c>
      <c r="K2" s="2" t="str">
        <f>KSO_odpady!J9</f>
        <v>Break_point_ap</v>
      </c>
      <c r="L2" s="2" t="str">
        <f>KSO_odpady!K9</f>
        <v>Miasto</v>
      </c>
      <c r="M2" s="2" t="str">
        <f>KSO_odpady!L9</f>
        <v>Kod pocztowy</v>
      </c>
      <c r="N2" s="2" t="str">
        <f>KSO_odpady!M9</f>
        <v>Ulica</v>
      </c>
      <c r="O2" s="2" t="str">
        <f>KSO_odpady!N9</f>
        <v>Nazwa/Numer Obiektu</v>
      </c>
      <c r="P2" s="2" t="str">
        <f>KSO_odpady!O9</f>
        <v>Break_point_ak</v>
      </c>
      <c r="R2" s="2" t="str">
        <f>KSO_odpady!Q9</f>
        <v>Break_point_sgp</v>
      </c>
      <c r="Z2" s="2" t="str">
        <f>KSO_odpady!Y9</f>
        <v>Break_point_sgk</v>
      </c>
      <c r="AB2" s="2" t="str">
        <f>KSO_odpady!AA9</f>
        <v>Break_point_1</v>
      </c>
      <c r="AL2" s="2" t="str">
        <f>KSO_odpady!AK9</f>
        <v>Break_point_2</v>
      </c>
      <c r="AX2" s="2" t="str">
        <f>KSO_odpady!AW9</f>
        <v>Break_point_5</v>
      </c>
      <c r="AY2" s="2" t="str">
        <f>KSO_odpady!AX9</f>
        <v>Wyrównianie do wskaźnika</v>
      </c>
      <c r="AZ2" s="2" t="str">
        <f>KSO_odpady!AY9</f>
        <v>Przychód z odsprzedaży Spółki</v>
      </c>
      <c r="BA2" s="2" t="str">
        <f>KSO_odpady!AZ9</f>
        <v>Koszt zagospodarowania/usługi Spółki</v>
      </c>
      <c r="BB2" s="2" t="str">
        <f>KSO_odpady!BA9</f>
        <v>Transport (zł/kurs) 
spółka</v>
      </c>
      <c r="BC2" s="2" t="str">
        <f>KSO_odpady!BB9</f>
        <v>Partia transportowa (Mg/kurs)
spółka</v>
      </c>
      <c r="BD2" s="2" t="str">
        <f>KSO_odpady!BC9</f>
        <v>Koszt transportu (zł/Mg)
spółka</v>
      </c>
      <c r="BE2" s="2" t="str">
        <f>KSO_odpady!BD9</f>
        <v>Transport (zł/kurs)
spółka</v>
      </c>
      <c r="BF2" s="2" t="str">
        <f>KSO_odpady!BE9</f>
        <v>Partia transportowa (Mg/kurs) 
spółka</v>
      </c>
      <c r="BG2" s="2" t="str">
        <f>KSO_odpady!BF9</f>
        <v>Koszt transportu do instalacji (zł/Mg)
spółka</v>
      </c>
      <c r="BH2" s="2" t="str">
        <f>KSO_odpady!BG9</f>
        <v xml:space="preserve">Jednostka  </v>
      </c>
      <c r="BI2" s="2" t="str">
        <f>KSO_odpady!BH9</f>
        <v>Suma kosztów Spółki
(odpady)</v>
      </c>
      <c r="BJ2" s="2" t="str">
        <f>KSO_odpady!BI9</f>
        <v>Suma kosztów Spółki
(transport)</v>
      </c>
      <c r="BK2" s="2" t="str">
        <f>KSO_odpady!BJ9</f>
        <v>Marża Spółki
(odpady)</v>
      </c>
      <c r="BL2" s="2" t="str">
        <f>KSO_odpady!BK9</f>
        <v>Marża Spółki
(transport)</v>
      </c>
      <c r="BM2" s="2" t="str">
        <f>KSO_odpady!BL9</f>
        <v>Break_point_6</v>
      </c>
      <c r="BQ2" s="2" t="str">
        <f>KSO_odpady!BP9</f>
        <v>Break_point_7</v>
      </c>
      <c r="BR2" s="2" t="str">
        <f>KSO_odpady!BQ9</f>
        <v>Rentowność Spółki
(odpady)
(%)</v>
      </c>
      <c r="BS2" s="2" t="str">
        <f>KSO_odpady!BR9</f>
        <v>Rentowność Spółki
(transport)
(%)</v>
      </c>
      <c r="BT2" s="2" t="str">
        <f>KSO_odpady!BS9</f>
        <v>Obrót Spółki 
(odpady)
 (PLN/rok)</v>
      </c>
      <c r="BU2" s="2" t="str">
        <f>KSO_odpady!BT9</f>
        <v>Obrót Spółki 
(transport)
 (PLN/rok)</v>
      </c>
      <c r="BV2" s="2" t="str">
        <f>KSO_odpady!BU9</f>
        <v>Zysk Spółki
(odpady)
 (PLN/rok)</v>
      </c>
      <c r="BW2" s="2" t="str">
        <f>KSO_odpady!BV9</f>
        <v>Zysk Spółki
(transport)
 (PLN/rok)</v>
      </c>
      <c r="BX2" s="2" t="str">
        <f>KSO_odpady!BW9</f>
        <v>Spółka płaci SUEZ Polska (PLN/rok)</v>
      </c>
      <c r="BY2" s="2" t="str">
        <f>KSO_odpady!BX9</f>
        <v>SUEZ Polska płaci Spółce (PLN/rok)</v>
      </c>
      <c r="BZ2" s="2" t="str">
        <f>KSO_odpady!BY9</f>
        <v>Szacunkowa ilość odpadu dla Spółki
(Mg/rok)</v>
      </c>
      <c r="CA2" s="2" t="str">
        <f>KSO_odpady!BZ9</f>
        <v>Rodzaj odpadu Spółki</v>
      </c>
      <c r="CB2" s="2" t="str">
        <f>KSO_odpady!CA9</f>
        <v>Break_point_dkp</v>
      </c>
      <c r="CL2" s="2" t="str">
        <f>KSO_odpady!CK9</f>
        <v>Koszt sprzętu (zł/Mg)</v>
      </c>
      <c r="CM2" s="2" t="str">
        <f>KSO_odpady!CL9</f>
        <v>Koszt ludzi (zł/Mg)</v>
      </c>
      <c r="CN2" s="2" t="str">
        <f>KSO_odpady!CM9</f>
        <v>Break_point_dkk</v>
      </c>
      <c r="CO2" s="2" t="str">
        <f>KSO_odpady!CN9</f>
        <v xml:space="preserve">Jednostka </v>
      </c>
      <c r="CP2" s="2" t="str">
        <f>KSO_odpady!CO9</f>
        <v>Suma kosztów</v>
      </c>
      <c r="CQ2" s="2" t="str">
        <f>KSO_odpady!CP9</f>
        <v>Marża</v>
      </c>
      <c r="CR2" s="2" t="str">
        <f>KSO_odpady!CQ9</f>
        <v>Wyrównanie do wskaźnika dla Klienta</v>
      </c>
      <c r="CS2" s="2" t="str">
        <f>KSO_odpady!CR9</f>
        <v>Cena netto płaci SUEZ</v>
      </c>
      <c r="CT2" s="2" t="str">
        <f>KSO_odpady!CS9</f>
        <v>Cena netto dla Klienta</v>
      </c>
      <c r="CU2" s="2" t="str">
        <f>KSO_odpady!CT9</f>
        <v>Rentowność (%)</v>
      </c>
      <c r="CV2" s="2" t="str">
        <f>KSO_odpady!CU9</f>
        <v xml:space="preserve">Obrót (PLN/rok) </v>
      </c>
      <c r="CW2" s="2" t="str">
        <f>KSO_odpady!CV9</f>
        <v>Zysk (PLN/rok)</v>
      </c>
      <c r="CX2" s="2" t="str">
        <f>KSO_odpady!CW9</f>
        <v>SUEZ płaci Klientowi (PLN/rok)</v>
      </c>
      <c r="CY2" s="2" t="str">
        <f>KSO_odpady!CX9</f>
        <v>Klient płaci SUEZ (PLN/rok)</v>
      </c>
      <c r="CZ2" s="2" t="str">
        <f>KSO_odpady!CY9</f>
        <v>Szacunkowa ilość odpadu (Mg/rok)</v>
      </c>
      <c r="DA2" s="2" t="str">
        <f>KSO_odpady!CZ9</f>
        <v>Rodzaj odpadu</v>
      </c>
      <c r="DB2" s="2" t="str">
        <f>KSO_odpady!DA9</f>
        <v>Break_point_4</v>
      </c>
      <c r="DC2" s="2" t="str">
        <f>KSO_odpady!DB9</f>
        <v>Rentowność SUEZ Razem (%)</v>
      </c>
      <c r="DD2" s="2" t="str">
        <f>KSO_odpady!DC9</f>
        <v>Zysk SUEZ Razem [PLN/rok]</v>
      </c>
      <c r="DE2" s="2" t="str">
        <f>KSO_odpady!DD9</f>
        <v>Obrót max (PLN/rok)</v>
      </c>
      <c r="DF2" s="2" t="str">
        <f>KSO_odpady!DE9</f>
        <v>Break_point_8</v>
      </c>
    </row>
    <row r="3" spans="1:119" s="2" customFormat="1">
      <c r="A3" s="110" t="s">
        <v>2268</v>
      </c>
      <c r="D3" s="2" t="str">
        <f>KSO_odpady!C9</f>
        <v>Kod odpadu 
*u Klienta</v>
      </c>
      <c r="K3" s="2" t="str">
        <f>KSO_odpady!J9</f>
        <v>Break_point_ap</v>
      </c>
      <c r="L3" s="2" t="str">
        <f>KSO_odpady!K9</f>
        <v>Miasto</v>
      </c>
      <c r="M3" s="2" t="str">
        <f>KSO_odpady!L9</f>
        <v>Kod pocztowy</v>
      </c>
      <c r="N3" s="2" t="str">
        <f>KSO_odpady!M9</f>
        <v>Ulica</v>
      </c>
      <c r="O3" s="2" t="str">
        <f>KSO_odpady!N9</f>
        <v>Nazwa/Numer Obiektu</v>
      </c>
      <c r="P3" s="2" t="str">
        <f>KSO_odpady!O9</f>
        <v>Break_point_ak</v>
      </c>
      <c r="R3" s="2" t="str">
        <f>KSO_odpady!Q9</f>
        <v>Break_point_sgp</v>
      </c>
      <c r="S3" s="2" t="str">
        <f>KSO_odpady!R9</f>
        <v>Postać odpadu</v>
      </c>
      <c r="T3" s="2" t="str">
        <f>KSO_odpady!S9</f>
        <v>Rodzaj sprzętu (pojemniki i urządzenia) **sugerowany</v>
      </c>
      <c r="U3" s="2" t="str">
        <f>KSO_odpady!T9</f>
        <v>Rodzaj sprzętu w ofercie SUEZ (pojemniki i urządzenia)</v>
      </c>
      <c r="V3" s="2" t="str">
        <f>KSO_odpady!U9</f>
        <v>Ilość pojemników/ sprzętu w ofercie SUEZ dla Klienta</v>
      </c>
      <c r="W3" s="2" t="str">
        <f>KSO_odpady!V9</f>
        <v>Własność pojemników/ sprzętu w ofercie SUEZ dla Klienta</v>
      </c>
      <c r="X3" s="2" t="str">
        <f>KSO_odpady!W9</f>
        <v>Ilość pojemników/ sprzętu na wymianę</v>
      </c>
      <c r="Y3" s="2" t="str">
        <f>KSO_odpady!X9</f>
        <v>Własność pojemników/ sprzętu na wymianę</v>
      </c>
      <c r="Z3" s="2" t="str">
        <f>KSO_odpady!Y9</f>
        <v>Break_point_sgk</v>
      </c>
      <c r="AB3" s="2" t="str">
        <f>KSO_odpady!AA9</f>
        <v>Break_point_1</v>
      </c>
      <c r="AC3" s="2" t="str">
        <f>KSO_odpady!AB9</f>
        <v>Czy możliwa zmiana sposobu gromadzenia?</v>
      </c>
      <c r="AD3" s="2" t="str">
        <f>KSO_odpady!AC9</f>
        <v>Zakładana partia transportowa (Mg)</v>
      </c>
      <c r="AE3" s="2" t="str">
        <f>KSO_odpady!AD9</f>
        <v>Czy możliwa zmiana partii transportowej?</v>
      </c>
      <c r="AF3" s="2" t="str">
        <f>KSO_odpady!AE9</f>
        <v>Sugerowany transport</v>
      </c>
      <c r="AG3" s="2" t="str">
        <f>KSO_odpady!AF9</f>
        <v>Sposób zagospodarowania obecny/ oczekiwany</v>
      </c>
      <c r="AH3" s="2" t="str">
        <f>KSO_odpady!AG9</f>
        <v>Obecny operator</v>
      </c>
      <c r="AI3" s="2" t="str">
        <f>KSO_odpady!AH9</f>
        <v>Próbki</v>
      </c>
      <c r="AJ3" s="2" t="str">
        <f>KSO_odpady!AI9</f>
        <v>Zdjęcia</v>
      </c>
      <c r="AK3" s="2" t="str">
        <f>KSO_odpady!AJ9</f>
        <v>Komentarz uzupełniający:
- oczekiwana przez klienta cena
- co ma zawierać cena
- pomysł na zejście odpadu
- inne</v>
      </c>
      <c r="AL3" s="2" t="str">
        <f>KSO_odpady!AK9</f>
        <v>Break_point_2</v>
      </c>
      <c r="AX3" s="2" t="str">
        <f>KSO_odpady!AW9</f>
        <v>Break_point_5</v>
      </c>
      <c r="AY3" s="2" t="str">
        <f>KSO_odpady!AX9</f>
        <v>Wyrównianie do wskaźnika</v>
      </c>
      <c r="AZ3" s="2" t="str">
        <f>KSO_odpady!AY9</f>
        <v>Przychód z odsprzedaży Spółki</v>
      </c>
      <c r="BA3" s="2" t="str">
        <f>KSO_odpady!AZ9</f>
        <v>Koszt zagospodarowania/usługi Spółki</v>
      </c>
      <c r="BB3" s="2" t="str">
        <f>KSO_odpady!BA9</f>
        <v>Transport (zł/kurs) 
spółka</v>
      </c>
      <c r="BC3" s="2" t="str">
        <f>KSO_odpady!BB9</f>
        <v>Partia transportowa (Mg/kurs)
spółka</v>
      </c>
      <c r="BD3" s="2" t="str">
        <f>KSO_odpady!BC9</f>
        <v>Koszt transportu (zł/Mg)
spółka</v>
      </c>
      <c r="BE3" s="2" t="str">
        <f>KSO_odpady!BD9</f>
        <v>Transport (zł/kurs)
spółka</v>
      </c>
      <c r="BF3" s="2" t="str">
        <f>KSO_odpady!BE9</f>
        <v>Partia transportowa (Mg/kurs) 
spółka</v>
      </c>
      <c r="BG3" s="2" t="str">
        <f>KSO_odpady!BF9</f>
        <v>Koszt transportu do instalacji (zł/Mg)
spółka</v>
      </c>
      <c r="BH3" s="2" t="str">
        <f>KSO_odpady!BG9</f>
        <v xml:space="preserve">Jednostka  </v>
      </c>
      <c r="BI3" s="2" t="str">
        <f>KSO_odpady!BH9</f>
        <v>Suma kosztów Spółki
(odpady)</v>
      </c>
      <c r="BJ3" s="2" t="str">
        <f>KSO_odpady!BI9</f>
        <v>Suma kosztów Spółki
(transport)</v>
      </c>
      <c r="BK3" s="2" t="str">
        <f>KSO_odpady!BJ9</f>
        <v>Marża Spółki
(odpady)</v>
      </c>
      <c r="BL3" s="2" t="str">
        <f>KSO_odpady!BK9</f>
        <v>Marża Spółki
(transport)</v>
      </c>
      <c r="BM3" s="2" t="str">
        <f>KSO_odpady!BL9</f>
        <v>Break_point_6</v>
      </c>
      <c r="BQ3" s="2" t="str">
        <f>KSO_odpady!BP9</f>
        <v>Break_point_7</v>
      </c>
      <c r="BR3" s="2" t="str">
        <f>KSO_odpady!BQ9</f>
        <v>Rentowność Spółki
(odpady)
(%)</v>
      </c>
      <c r="BS3" s="2" t="str">
        <f>KSO_odpady!BR9</f>
        <v>Rentowność Spółki
(transport)
(%)</v>
      </c>
      <c r="BT3" s="2" t="str">
        <f>KSO_odpady!BS9</f>
        <v>Obrót Spółki 
(odpady)
 (PLN/rok)</v>
      </c>
      <c r="BU3" s="2" t="str">
        <f>KSO_odpady!BT9</f>
        <v>Obrót Spółki 
(transport)
 (PLN/rok)</v>
      </c>
      <c r="BV3" s="2" t="str">
        <f>KSO_odpady!BU9</f>
        <v>Zysk Spółki
(odpady)
 (PLN/rok)</v>
      </c>
      <c r="BW3" s="2" t="str">
        <f>KSO_odpady!BV9</f>
        <v>Zysk Spółki
(transport)
 (PLN/rok)</v>
      </c>
      <c r="BX3" s="2" t="str">
        <f>KSO_odpady!BW9</f>
        <v>Spółka płaci SUEZ Polska (PLN/rok)</v>
      </c>
      <c r="BY3" s="2" t="str">
        <f>KSO_odpady!BX9</f>
        <v>SUEZ Polska płaci Spółce (PLN/rok)</v>
      </c>
      <c r="BZ3" s="2" t="str">
        <f>KSO_odpady!BY9</f>
        <v>Szacunkowa ilość odpadu dla Spółki
(Mg/rok)</v>
      </c>
      <c r="CA3" s="2" t="str">
        <f>KSO_odpady!BZ9</f>
        <v>Rodzaj odpadu Spółki</v>
      </c>
      <c r="CB3" s="2" t="str">
        <f>KSO_odpady!CA9</f>
        <v>Break_point_dkp</v>
      </c>
      <c r="CN3" s="2" t="str">
        <f>KSO_odpady!CM9</f>
        <v>Break_point_dkk</v>
      </c>
      <c r="CZ3" s="651" t="str">
        <f>KSO_odpady!CY9</f>
        <v>Szacunkowa ilość odpadu (Mg/rok)</v>
      </c>
      <c r="DC3" s="2" t="str">
        <f>KSO_odpady!DB9</f>
        <v>Rentowność SUEZ Razem (%)</v>
      </c>
      <c r="DD3" s="2" t="str">
        <f>KSO_odpady!DC9</f>
        <v>Zysk SUEZ Razem [PLN/rok]</v>
      </c>
      <c r="DE3" s="2" t="str">
        <f>KSO_odpady!DD9</f>
        <v>Obrót max (PLN/rok)</v>
      </c>
      <c r="DF3" s="2" t="str">
        <f>KSO_odpady!DE9</f>
        <v>Break_point_8</v>
      </c>
    </row>
    <row r="4" spans="1:119" s="2" customFormat="1">
      <c r="A4" s="135" t="s">
        <v>2357</v>
      </c>
      <c r="D4" s="2" t="str">
        <f>KSO_odpady!C9</f>
        <v>Kod odpadu 
*u Klienta</v>
      </c>
      <c r="K4" s="2" t="str">
        <f>KSO_odpady!J9</f>
        <v>Break_point_ap</v>
      </c>
      <c r="L4" s="2" t="str">
        <f>KSO_odpady!K9</f>
        <v>Miasto</v>
      </c>
      <c r="M4" s="2" t="str">
        <f>KSO_odpady!L9</f>
        <v>Kod pocztowy</v>
      </c>
      <c r="N4" s="2" t="str">
        <f>KSO_odpady!M9</f>
        <v>Ulica</v>
      </c>
      <c r="O4" s="2" t="str">
        <f>KSO_odpady!N9</f>
        <v>Nazwa/Numer Obiektu</v>
      </c>
      <c r="P4" s="2" t="str">
        <f>KSO_odpady!O9</f>
        <v>Break_point_ak</v>
      </c>
      <c r="R4" s="2" t="str">
        <f>KSO_odpady!Q9</f>
        <v>Break_point_sgp</v>
      </c>
      <c r="S4" s="2" t="str">
        <f>KSO_odpady!R9</f>
        <v>Postać odpadu</v>
      </c>
      <c r="T4" s="2" t="str">
        <f>KSO_odpady!S9</f>
        <v>Rodzaj sprzętu (pojemniki i urządzenia) **sugerowany</v>
      </c>
      <c r="U4" s="2" t="str">
        <f>KSO_odpady!T9</f>
        <v>Rodzaj sprzętu w ofercie SUEZ (pojemniki i urządzenia)</v>
      </c>
      <c r="V4" s="2" t="str">
        <f>KSO_odpady!U9</f>
        <v>Ilość pojemników/ sprzętu w ofercie SUEZ dla Klienta</v>
      </c>
      <c r="W4" s="2" t="str">
        <f>KSO_odpady!V9</f>
        <v>Własność pojemników/ sprzętu w ofercie SUEZ dla Klienta</v>
      </c>
      <c r="X4" s="2" t="str">
        <f>KSO_odpady!W9</f>
        <v>Ilość pojemników/ sprzętu na wymianę</v>
      </c>
      <c r="Y4" s="2" t="str">
        <f>KSO_odpady!X9</f>
        <v>Własność pojemników/ sprzętu na wymianę</v>
      </c>
      <c r="Z4" s="2" t="str">
        <f>KSO_odpady!Y9</f>
        <v>Break_point_sgk</v>
      </c>
      <c r="AB4" s="2" t="str">
        <f>KSO_odpady!AA9</f>
        <v>Break_point_1</v>
      </c>
      <c r="AC4" s="2" t="str">
        <f>KSO_odpady!AB9</f>
        <v>Czy możliwa zmiana sposobu gromadzenia?</v>
      </c>
      <c r="AD4" s="2" t="str">
        <f>KSO_odpady!AC9</f>
        <v>Zakładana partia transportowa (Mg)</v>
      </c>
      <c r="AE4" s="2" t="str">
        <f>KSO_odpady!AD9</f>
        <v>Czy możliwa zmiana partii transportowej?</v>
      </c>
      <c r="AF4" s="2" t="str">
        <f>KSO_odpady!AE9</f>
        <v>Sugerowany transport</v>
      </c>
      <c r="AG4" s="2" t="str">
        <f>KSO_odpady!AF9</f>
        <v>Sposób zagospodarowania obecny/ oczekiwany</v>
      </c>
      <c r="AH4" s="2" t="str">
        <f>KSO_odpady!AG9</f>
        <v>Obecny operator</v>
      </c>
      <c r="AI4" s="2" t="str">
        <f>KSO_odpady!AH9</f>
        <v>Próbki</v>
      </c>
      <c r="AJ4" s="2" t="str">
        <f>KSO_odpady!AI9</f>
        <v>Zdjęcia</v>
      </c>
      <c r="AK4" s="2" t="str">
        <f>KSO_odpady!AJ9</f>
        <v>Komentarz uzupełniający:
- oczekiwana przez klienta cena
- co ma zawierać cena
- pomysł na zejście odpadu
- inne</v>
      </c>
      <c r="AL4" s="2" t="str">
        <f>KSO_odpady!AK9</f>
        <v>Break_point_2</v>
      </c>
      <c r="AM4" s="2" t="str">
        <f>KSO_odpady!AL9</f>
        <v>Wyceniający (inicjały)</v>
      </c>
      <c r="AN4" s="2" t="str">
        <f>KSO_odpady!AM9</f>
        <v>SPÓŁKA</v>
      </c>
      <c r="AP4" s="2" t="str">
        <f>KSO_odpady!AO9</f>
        <v>Termin płatności odbiorcy/ podwykonawcy (dni) INFORMACJA WEWNĘTRZNA SUEZ</v>
      </c>
      <c r="AQ4" s="2" t="str">
        <f>KSO_odpady!AP9</f>
        <v>Proces zagospodarowania</v>
      </c>
      <c r="AR4" s="2" t="str">
        <f>KSO_odpady!AQ9</f>
        <v>Komentarz uzupełniajacy INFORMACJA WEWNĘTRZNA SUEZ</v>
      </c>
      <c r="AS4" s="2" t="str">
        <f>KSO_odpady!AR9</f>
        <v>Uwagi logistyczne dla Klienta (np. sposób transportu, inne)</v>
      </c>
      <c r="AT4" s="2" t="str">
        <f>KSO_odpady!AS9</f>
        <v>Min partia transportowa</v>
      </c>
      <c r="AU4" s="2" t="str">
        <f>KSO_odpady!AT9</f>
        <v>Termin obowiązywania oferty</v>
      </c>
      <c r="AV4" s="2" t="str">
        <f>KSO_odpady!AU9</f>
        <v>Wymagania jakościowe</v>
      </c>
      <c r="AW4" s="2" t="str">
        <f>KSO_odpady!AV9</f>
        <v>Jednostka</v>
      </c>
      <c r="AX4" s="2" t="str">
        <f>KSO_odpady!AW9</f>
        <v>Break_point_5</v>
      </c>
      <c r="AY4" s="2" t="str">
        <f>KSO_odpady!AX9</f>
        <v>Wyrównianie do wskaźnika</v>
      </c>
      <c r="AZ4" s="2" t="str">
        <f>KSO_odpady!AY9</f>
        <v>Przychód z odsprzedaży Spółki</v>
      </c>
      <c r="BA4" s="2" t="str">
        <f>KSO_odpady!AZ9</f>
        <v>Koszt zagospodarowania/usługi Spółki</v>
      </c>
      <c r="BB4" s="2" t="str">
        <f>KSO_odpady!BA9</f>
        <v>Transport (zł/kurs) 
spółka</v>
      </c>
      <c r="BC4" s="2" t="str">
        <f>KSO_odpady!BB9</f>
        <v>Partia transportowa (Mg/kurs)
spółka</v>
      </c>
      <c r="BD4" s="2" t="str">
        <f>KSO_odpady!BC9</f>
        <v>Koszt transportu (zł/Mg)
spółka</v>
      </c>
      <c r="BE4" s="2" t="str">
        <f>KSO_odpady!BD9</f>
        <v>Transport (zł/kurs)
spółka</v>
      </c>
      <c r="BF4" s="2" t="str">
        <f>KSO_odpady!BE9</f>
        <v>Partia transportowa (Mg/kurs) 
spółka</v>
      </c>
      <c r="BG4" s="2" t="str">
        <f>KSO_odpady!BF9</f>
        <v>Koszt transportu do instalacji (zł/Mg)
spółka</v>
      </c>
      <c r="BH4" s="2" t="str">
        <f>KSO_odpady!BG9</f>
        <v xml:space="preserve">Jednostka  </v>
      </c>
      <c r="BI4" s="2" t="str">
        <f>KSO_odpady!BH9</f>
        <v>Suma kosztów Spółki
(odpady)</v>
      </c>
      <c r="BJ4" s="2" t="str">
        <f>KSO_odpady!BI9</f>
        <v>Suma kosztów Spółki
(transport)</v>
      </c>
      <c r="BK4" s="2" t="str">
        <f>KSO_odpady!BJ9</f>
        <v>Marża Spółki
(odpady)</v>
      </c>
      <c r="BL4" s="2" t="str">
        <f>KSO_odpady!BK9</f>
        <v>Marża Spółki
(transport)</v>
      </c>
      <c r="BM4" s="2" t="str">
        <f>KSO_odpady!BL9</f>
        <v>Break_point_6</v>
      </c>
      <c r="BN4" s="2" t="str">
        <f>KSO_odpady!BM9</f>
        <v>Wyrównanie do wskaźnika Spółka</v>
      </c>
      <c r="BO4" s="2" t="str">
        <f>KSO_odpady!BN9</f>
        <v>Przychód z odsprzedaży</v>
      </c>
      <c r="BP4" s="2" t="str">
        <f>KSO_odpady!BO9</f>
        <v>Koszt zagospodarowania/usługi</v>
      </c>
      <c r="BQ4" s="2" t="str">
        <f>KSO_odpady!BP9</f>
        <v>Break_point_7</v>
      </c>
      <c r="BR4" s="2" t="str">
        <f>KSO_odpady!BQ9</f>
        <v>Rentowność Spółki
(odpady)
(%)</v>
      </c>
      <c r="BS4" s="2" t="str">
        <f>KSO_odpady!BR9</f>
        <v>Rentowność Spółki
(transport)
(%)</v>
      </c>
      <c r="BT4" s="2" t="str">
        <f>KSO_odpady!BS9</f>
        <v>Obrót Spółki 
(odpady)
 (PLN/rok)</v>
      </c>
      <c r="BU4" s="2" t="str">
        <f>KSO_odpady!BT9</f>
        <v>Obrót Spółki 
(transport)
 (PLN/rok)</v>
      </c>
      <c r="BV4" s="2" t="str">
        <f>KSO_odpady!BU9</f>
        <v>Zysk Spółki
(odpady)
 (PLN/rok)</v>
      </c>
      <c r="BW4" s="2" t="str">
        <f>KSO_odpady!BV9</f>
        <v>Zysk Spółki
(transport)
 (PLN/rok)</v>
      </c>
      <c r="BX4" s="2" t="str">
        <f>KSO_odpady!BW9</f>
        <v>Spółka płaci SUEZ Polska (PLN/rok)</v>
      </c>
      <c r="BY4" s="2" t="str">
        <f>KSO_odpady!BX9</f>
        <v>SUEZ Polska płaci Spółce (PLN/rok)</v>
      </c>
      <c r="BZ4" s="2" t="str">
        <f>KSO_odpady!BY9</f>
        <v>Szacunkowa ilość odpadu dla Spółki
(Mg/rok)</v>
      </c>
      <c r="CA4" s="2" t="str">
        <f>KSO_odpady!BZ9</f>
        <v>Rodzaj odpadu Spółki</v>
      </c>
      <c r="CB4" s="2" t="str">
        <f>KSO_odpady!CA9</f>
        <v>Break_point_dkp</v>
      </c>
      <c r="CC4" s="2" t="str">
        <f>KSO_odpady!CB9</f>
        <v>Transport (zł/kurs)</v>
      </c>
      <c r="CD4" s="2" t="str">
        <f>KSO_odpady!CC9</f>
        <v>Partia transportowa (Mg/kurs)</v>
      </c>
      <c r="CE4" s="2" t="str">
        <f>KSO_odpady!CD9</f>
        <v>Koszt transportu (zł/Mg)</v>
      </c>
      <c r="CF4" s="2" t="str">
        <f>KSO_odpady!CE9</f>
        <v>Transport  (zł/kurs)</v>
      </c>
      <c r="CG4" s="2" t="str">
        <f>KSO_odpady!CF9</f>
        <v xml:space="preserve">Partia transportowa (Mg/kurs) </v>
      </c>
      <c r="CH4" s="2" t="str">
        <f>KSO_odpady!CG9</f>
        <v xml:space="preserve">Koszt transportu (zł/Mg) </v>
      </c>
      <c r="CI4" s="2" t="str">
        <f>KSO_odpady!CH9</f>
        <v>Dzierżawa (zł/m-c)</v>
      </c>
      <c r="CJ4" s="2" t="str">
        <f>KSO_odpady!CI9</f>
        <v>Dzierżawa (zł/Mg)</v>
      </c>
      <c r="CK4" s="2" t="str">
        <f>KSO_odpady!CJ9</f>
        <v>Koszty dodatkowe (zł/Mg)</v>
      </c>
      <c r="CL4" s="2" t="str">
        <f>KSO_odpady!CK9</f>
        <v>Koszt sprzętu (zł/Mg)</v>
      </c>
      <c r="CM4" s="2" t="str">
        <f>KSO_odpady!CL9</f>
        <v>Koszt ludzi (zł/Mg)</v>
      </c>
      <c r="CN4" s="2" t="str">
        <f>KSO_odpady!CM9</f>
        <v>Break_point_dkk</v>
      </c>
      <c r="CZ4" s="651" t="str">
        <f>KSO_odpady!CY9</f>
        <v>Szacunkowa ilość odpadu (Mg/rok)</v>
      </c>
      <c r="DB4" s="2" t="str">
        <f>KSO_odpady!DA9</f>
        <v>Break_point_4</v>
      </c>
      <c r="DC4" s="2" t="str">
        <f>KSO_odpady!DB9</f>
        <v>Rentowność SUEZ Razem (%)</v>
      </c>
      <c r="DD4" s="2" t="str">
        <f>KSO_odpady!DC9</f>
        <v>Zysk SUEZ Razem [PLN/rok]</v>
      </c>
      <c r="DE4" s="2" t="str">
        <f>KSO_odpady!DD9</f>
        <v>Obrót max (PLN/rok)</v>
      </c>
      <c r="DF4" s="2" t="str">
        <f>KSO_odpady!DE9</f>
        <v>Break_point_8</v>
      </c>
    </row>
    <row r="5" spans="1:119" s="133" customFormat="1" ht="5.25" customHeight="1"/>
    <row r="7" spans="1:119">
      <c r="A7" s="110" t="s">
        <v>2350</v>
      </c>
      <c r="B7" s="2"/>
      <c r="C7" t="str">
        <f>Obsługa_sprzęt!B4</f>
        <v>Koszt w przeliczeniu na: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 t="str">
        <f>Obsługa_sprzęt!N4</f>
        <v>Koszt miesięczny CAŁKOWITY (zł/msc)</v>
      </c>
      <c r="P7" s="2" t="str">
        <f>Obsługa_sprzęt!O4</f>
        <v>Koszt roczny CAŁKOWITY
(zł/rok)</v>
      </c>
      <c r="Q7" s="2"/>
      <c r="R7" s="2" t="str">
        <f>Obsługa_sprzęt!R4</f>
        <v>Całkowita wartość środków trwałych CAPEX 
netto (zł)</v>
      </c>
      <c r="S7" s="2" t="str">
        <f>Obsługa_sprzęt!S4</f>
        <v>Wartość amortyzacji na rok (zł)</v>
      </c>
      <c r="T7" s="2" t="str">
        <f>Obsługa_sprzęt!T4</f>
        <v>Ilość cykli zakupu na kontrakt</v>
      </c>
      <c r="U7" s="2" t="str">
        <f>Obsługa_sprzęt!U4</f>
        <v>Wartość amortyzacji na kontrakt (zł)</v>
      </c>
      <c r="V7" s="2" t="str">
        <f>Obsługa_sprzęt!V4</f>
        <v>Koszt roczny w przeliczeniu na tonę (zł/Mg)</v>
      </c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119">
      <c r="A8" s="110" t="s">
        <v>2508</v>
      </c>
      <c r="C8" t="str">
        <f>Obsługa_ludzie!B4</f>
        <v>Koszt w przeliczeniu na:</v>
      </c>
      <c r="L8" t="str">
        <f>Obsługa_ludzie!L4</f>
        <v>Premia
[zł/m-c]</v>
      </c>
      <c r="M8" t="str">
        <f>Obsługa_ludzie!M4</f>
        <v>ZUS  na jednego pracownika
[zł/m-c]</v>
      </c>
      <c r="N8" t="str">
        <f>Obsługa_ludzie!N4</f>
        <v>Fundusz socjalny (odpis)
[zł/m-c]</v>
      </c>
      <c r="O8" t="str">
        <f>Obsługa_ludzie!O4</f>
        <v>Całkowity koszt jednego pracownika
[zł/m-c]
SUEZ</v>
      </c>
      <c r="P8" t="str">
        <f>Obsługa_ludzie!Q4</f>
        <v>Całkowity koszt jednego pracownika
[zł/m-c]
AGENCJA</v>
      </c>
      <c r="Q8" t="str">
        <f>Obsługa_ludzie!R4</f>
        <v>Koszt miesięczny CAŁKOWITY wszystkich pracowników
[zł/msc]</v>
      </c>
      <c r="R8" t="str">
        <f>Obsługa_ludzie!S4</f>
        <v>Koszt roczny CAŁKOWITY wszystkich pracowników
[zł/rok]</v>
      </c>
      <c r="S8" t="str">
        <f>Obsługa_ludzie!T4</f>
        <v>Koszt roczny w przeliczeniu na tonę (zł/Mg)</v>
      </c>
      <c r="T8" t="str">
        <f>Obsługa_ludzie!U4</f>
        <v>Termin obowiązywania oferty</v>
      </c>
    </row>
    <row r="10" spans="1:119">
      <c r="A10" s="135" t="s">
        <v>2509</v>
      </c>
      <c r="E10" t="str">
        <f>KSO_odpady!BA9</f>
        <v>Transport (zł/kurs) 
spółka</v>
      </c>
      <c r="F10" t="str">
        <f>KSO_odpady!BB9</f>
        <v>Partia transportowa (Mg/kurs)
spółka</v>
      </c>
      <c r="G10" t="str">
        <f>KSO_odpady!BC9</f>
        <v>Koszt transportu (zł/Mg)
spółka</v>
      </c>
      <c r="H10" t="str">
        <f>KSO_odpady!BD9</f>
        <v>Transport (zł/kurs)
spółka</v>
      </c>
      <c r="I10" t="str">
        <f>KSO_odpady!BE9</f>
        <v>Partia transportowa (Mg/kurs) 
spółka</v>
      </c>
      <c r="J10" t="str">
        <f>KSO_odpady!BF9</f>
        <v>Koszt transportu do instalacji (zł/Mg)
spółka</v>
      </c>
      <c r="V10" t="str">
        <f>KSO_odpady!BY9</f>
        <v>Szacunkowa ilość odpadu dla Spółki
(Mg/rok)</v>
      </c>
      <c r="W10" t="str">
        <f>KSO_odpady!BZ9</f>
        <v>Rodzaj odpadu Spółki</v>
      </c>
    </row>
    <row r="12" spans="1:119">
      <c r="A12" s="270" t="s">
        <v>2521</v>
      </c>
      <c r="B12" s="2" t="s">
        <v>2257</v>
      </c>
      <c r="C12" s="2" t="s">
        <v>120</v>
      </c>
      <c r="D12" s="2" t="s">
        <v>2445</v>
      </c>
      <c r="E12" s="2" t="s">
        <v>1708</v>
      </c>
      <c r="F12" s="2" t="s">
        <v>2408</v>
      </c>
      <c r="G12" s="2" t="s">
        <v>2255</v>
      </c>
      <c r="H12" s="2" t="s">
        <v>2162</v>
      </c>
      <c r="I12" s="2" t="s">
        <v>2447</v>
      </c>
      <c r="J12" s="2" t="s">
        <v>2409</v>
      </c>
      <c r="K12" s="2" t="s">
        <v>2450</v>
      </c>
      <c r="L12" s="2" t="s">
        <v>2522</v>
      </c>
      <c r="M12" s="2" t="s">
        <v>2523</v>
      </c>
      <c r="N12" s="2" t="s">
        <v>2436</v>
      </c>
      <c r="O12" s="2" t="s">
        <v>2437</v>
      </c>
      <c r="P12" s="2" t="s">
        <v>2371</v>
      </c>
      <c r="Q12" s="2" t="s">
        <v>2413</v>
      </c>
      <c r="R12" s="2" t="s">
        <v>2451</v>
      </c>
      <c r="S12" s="2" t="s">
        <v>1007</v>
      </c>
      <c r="T12" s="2" t="s">
        <v>1008</v>
      </c>
      <c r="U12" s="2" t="s">
        <v>2156</v>
      </c>
      <c r="V12" s="2" t="s">
        <v>2372</v>
      </c>
      <c r="W12" s="2" t="s">
        <v>2414</v>
      </c>
      <c r="X12" s="2" t="s">
        <v>2415</v>
      </c>
    </row>
    <row r="19" spans="1:110" s="2" customFormat="1">
      <c r="A19" s="135" t="s">
        <v>2679</v>
      </c>
      <c r="E19" s="2" t="str">
        <f>KSO_odpady!D9</f>
        <v>Kod odpadu *w ofercie SUEZ</v>
      </c>
      <c r="K19" s="2" t="str">
        <f>KSO_odpady!J9</f>
        <v>Break_point_ap</v>
      </c>
      <c r="P19" s="2" t="str">
        <f>KSO_odpady!O9</f>
        <v>Break_point_ak</v>
      </c>
      <c r="R19" s="2" t="str">
        <f>KSO_odpady!Q9</f>
        <v>Break_point_sgp</v>
      </c>
      <c r="Z19" s="2" t="str">
        <f>KSO_odpady!Y9</f>
        <v>Break_point_sgk</v>
      </c>
      <c r="AB19" s="2" t="str">
        <f>KSO_odpady!AA9</f>
        <v>Break_point_1</v>
      </c>
      <c r="AL19" s="2" t="str">
        <f>KSO_odpady!AK9</f>
        <v>Break_point_2</v>
      </c>
      <c r="AX19" s="2" t="str">
        <f>KSO_odpady!AW9</f>
        <v>Break_point_5</v>
      </c>
      <c r="BM19" s="2" t="str">
        <f>KSO_odpady!BL9</f>
        <v>Break_point_6</v>
      </c>
      <c r="BQ19" s="2" t="str">
        <f>KSO_odpady!BP9</f>
        <v>Break_point_7</v>
      </c>
      <c r="CB19" s="2" t="str">
        <f>KSO_odpady!CA9</f>
        <v>Break_point_dkp</v>
      </c>
      <c r="CI19" s="2" t="str">
        <f>KSO_odpady!CH9</f>
        <v>Dzierżawa (zł/m-c)</v>
      </c>
      <c r="CJ19" s="2" t="str">
        <f>KSO_odpady!CI9</f>
        <v>Dzierżawa (zł/Mg)</v>
      </c>
      <c r="CK19" s="2" t="str">
        <f>KSO_odpady!CJ9</f>
        <v>Koszty dodatkowe (zł/Mg)</v>
      </c>
      <c r="CL19" s="2" t="str">
        <f>KSO_odpady!CK9</f>
        <v>Koszt sprzętu (zł/Mg)</v>
      </c>
      <c r="CM19" s="2" t="str">
        <f>KSO_odpady!CL9</f>
        <v>Koszt ludzi (zł/Mg)</v>
      </c>
      <c r="CN19" s="2" t="str">
        <f>KSO_odpady!CM9</f>
        <v>Break_point_dkk</v>
      </c>
      <c r="CO19" s="2" t="str">
        <f>KSO_odpady!CN9</f>
        <v xml:space="preserve">Jednostka </v>
      </c>
      <c r="CP19" s="2" t="str">
        <f>KSO_odpady!CO9</f>
        <v>Suma kosztów</v>
      </c>
      <c r="CQ19" s="2" t="str">
        <f>KSO_odpady!CP9</f>
        <v>Marża</v>
      </c>
      <c r="CR19" s="2" t="str">
        <f>KSO_odpady!CQ9</f>
        <v>Wyrównanie do wskaźnika dla Klienta</v>
      </c>
      <c r="CS19" s="2" t="str">
        <f>KSO_odpady!CR9</f>
        <v>Cena netto płaci SUEZ</v>
      </c>
      <c r="CT19" s="2" t="str">
        <f>KSO_odpady!CS9</f>
        <v>Cena netto dla Klienta</v>
      </c>
      <c r="CU19" s="2" t="str">
        <f>KSO_odpady!CT9</f>
        <v>Rentowność (%)</v>
      </c>
      <c r="CV19" s="2" t="str">
        <f>KSO_odpady!CU9</f>
        <v xml:space="preserve">Obrót (PLN/rok) </v>
      </c>
      <c r="CW19" s="2" t="str">
        <f>KSO_odpady!CV9</f>
        <v>Zysk (PLN/rok)</v>
      </c>
      <c r="CX19" s="2" t="str">
        <f>KSO_odpady!CW9</f>
        <v>SUEZ płaci Klientowi (PLN/rok)</v>
      </c>
      <c r="CY19" s="2" t="str">
        <f>KSO_odpady!CX9</f>
        <v>Klient płaci SUEZ (PLN/rok)</v>
      </c>
      <c r="CZ19" s="2" t="str">
        <f>KSO_odpady!CY9</f>
        <v>Szacunkowa ilość odpadu (Mg/rok)</v>
      </c>
      <c r="DA19" s="2" t="str">
        <f>KSO_odpady!CZ9</f>
        <v>Rodzaj odpadu</v>
      </c>
      <c r="DB19" s="2" t="str">
        <f>KSO_odpady!DA9</f>
        <v>Break_point_4</v>
      </c>
      <c r="DC19" s="2" t="str">
        <f>KSO_odpady!DB9</f>
        <v>Rentowność SUEZ Razem (%)</v>
      </c>
      <c r="DD19" s="2" t="str">
        <f>KSO_odpady!DC9</f>
        <v>Zysk SUEZ Razem [PLN/rok]</v>
      </c>
      <c r="DE19" s="2" t="str">
        <f>KSO_odpady!DD9</f>
        <v>Obrót max (PLN/rok)</v>
      </c>
      <c r="DF19" s="2" t="str">
        <f>KSO_odpady!DE9</f>
        <v>Break_point_8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>
    <tabColor rgb="FFAADC14"/>
    <pageSetUpPr fitToPage="1"/>
  </sheetPr>
  <dimension ref="A2:W14"/>
  <sheetViews>
    <sheetView showGridLines="0" zoomScale="70" zoomScaleNormal="70" workbookViewId="0">
      <selection activeCell="A7" sqref="A7:XFD14"/>
    </sheetView>
  </sheetViews>
  <sheetFormatPr defaultColWidth="9.109375" defaultRowHeight="13.2"/>
  <cols>
    <col min="1" max="1" width="6.6640625" style="72" bestFit="1" customWidth="1"/>
    <col min="2" max="2" width="4.88671875" style="72" bestFit="1" customWidth="1"/>
    <col min="3" max="3" width="21.5546875" style="72" bestFit="1" customWidth="1"/>
    <col min="4" max="4" width="19.5546875" style="72" bestFit="1" customWidth="1"/>
    <col min="5" max="5" width="17.88671875" style="106" bestFit="1" customWidth="1"/>
    <col min="6" max="6" width="18.33203125" style="72" bestFit="1" customWidth="1"/>
    <col min="7" max="7" width="15.5546875" style="72" bestFit="1" customWidth="1"/>
    <col min="8" max="8" width="19.44140625" style="72" bestFit="1" customWidth="1"/>
    <col min="9" max="9" width="15.88671875" style="72" bestFit="1" customWidth="1"/>
    <col min="10" max="10" width="24" style="72" customWidth="1"/>
    <col min="11" max="15" width="22.88671875" style="72" customWidth="1"/>
    <col min="16" max="16" width="29.6640625" style="72" bestFit="1" customWidth="1"/>
    <col min="17" max="19" width="22.88671875" style="72" customWidth="1"/>
    <col min="20" max="20" width="19.44140625" style="72" customWidth="1"/>
    <col min="21" max="21" width="28.109375" style="72" bestFit="1" customWidth="1"/>
    <col min="22" max="22" width="22.6640625" style="72" bestFit="1" customWidth="1"/>
    <col min="23" max="23" width="22.88671875" style="72" bestFit="1" customWidth="1"/>
    <col min="24" max="16384" width="9.109375" style="72"/>
  </cols>
  <sheetData>
    <row r="2" spans="1:23" s="102" customFormat="1" ht="16.5" customHeight="1">
      <c r="A2" s="711" t="s">
        <v>2262</v>
      </c>
      <c r="B2" s="711"/>
      <c r="C2" s="711"/>
      <c r="D2" s="108"/>
      <c r="E2" s="105"/>
    </row>
    <row r="3" spans="1:23" s="102" customFormat="1" ht="16.5" customHeight="1">
      <c r="A3" s="711" t="s">
        <v>2263</v>
      </c>
      <c r="B3" s="711"/>
      <c r="C3" s="711"/>
      <c r="D3" s="108">
        <f>'Tabela informacyjna'!B2</f>
        <v>0</v>
      </c>
      <c r="E3" s="105"/>
    </row>
    <row r="4" spans="1:23" s="102" customFormat="1" ht="16.5" customHeight="1">
      <c r="A4" s="711" t="s">
        <v>2264</v>
      </c>
      <c r="B4" s="711"/>
      <c r="C4" s="711"/>
      <c r="D4" s="109">
        <v>43182</v>
      </c>
      <c r="E4" s="105"/>
    </row>
    <row r="5" spans="1:23" s="102" customFormat="1" ht="34.5" customHeight="1">
      <c r="B5" s="72"/>
      <c r="C5" s="72"/>
      <c r="D5" s="72"/>
      <c r="E5" s="105"/>
    </row>
    <row r="6" spans="1:23" s="107" customFormat="1" ht="45.75" customHeight="1">
      <c r="A6" s="241" t="str">
        <f>Kalkulacja[[#Headers],[Opcja]]</f>
        <v>Opcja</v>
      </c>
      <c r="B6" s="241" t="s">
        <v>120</v>
      </c>
      <c r="C6" s="241" t="s">
        <v>125</v>
      </c>
      <c r="D6" s="241" t="s">
        <v>1708</v>
      </c>
      <c r="E6" s="241" t="s">
        <v>2408</v>
      </c>
      <c r="F6" s="241" t="s">
        <v>2255</v>
      </c>
      <c r="G6" s="241" t="s">
        <v>2162</v>
      </c>
      <c r="H6" s="242" t="s">
        <v>2261</v>
      </c>
      <c r="I6" s="236" t="s">
        <v>2409</v>
      </c>
      <c r="J6" s="236" t="s">
        <v>2411</v>
      </c>
      <c r="K6" s="236" t="s">
        <v>2434</v>
      </c>
      <c r="L6" s="236" t="s">
        <v>2435</v>
      </c>
      <c r="M6" s="236" t="s">
        <v>2436</v>
      </c>
      <c r="N6" s="236" t="s">
        <v>2437</v>
      </c>
      <c r="O6" s="241" t="s">
        <v>2371</v>
      </c>
      <c r="P6" s="236" t="s">
        <v>2413</v>
      </c>
      <c r="Q6" s="236" t="s">
        <v>2161</v>
      </c>
      <c r="R6" s="236" t="s">
        <v>1007</v>
      </c>
      <c r="S6" s="236" t="s">
        <v>1008</v>
      </c>
      <c r="T6" s="236" t="s">
        <v>2156</v>
      </c>
      <c r="U6" s="236" t="s">
        <v>2438</v>
      </c>
      <c r="V6" s="236" t="s">
        <v>2414</v>
      </c>
      <c r="W6" s="236" t="s">
        <v>2415</v>
      </c>
    </row>
    <row r="7" spans="1:23" ht="15.6">
      <c r="A7" s="297"/>
      <c r="B7" s="474"/>
      <c r="C7" s="476"/>
      <c r="D7" s="477"/>
      <c r="E7" s="479"/>
      <c r="F7" s="478"/>
      <c r="G7" s="480"/>
      <c r="H7" s="477"/>
      <c r="I7" s="480"/>
      <c r="J7" s="480"/>
      <c r="K7" s="480"/>
      <c r="L7" s="480"/>
      <c r="M7" s="480"/>
      <c r="N7" s="480"/>
      <c r="O7" s="478"/>
      <c r="P7" s="478"/>
      <c r="Q7" s="478"/>
      <c r="R7" s="488"/>
      <c r="S7" s="478"/>
      <c r="T7" s="302"/>
      <c r="U7" s="293"/>
      <c r="V7" s="304"/>
      <c r="W7" s="305"/>
    </row>
    <row r="8" spans="1:23" ht="15.6">
      <c r="A8" s="491"/>
      <c r="B8" s="492"/>
      <c r="C8" s="494"/>
      <c r="D8" s="495"/>
      <c r="E8" s="497"/>
      <c r="F8" s="496"/>
      <c r="G8" s="498"/>
      <c r="H8" s="495"/>
      <c r="I8" s="498"/>
      <c r="J8" s="500"/>
      <c r="K8" s="500"/>
      <c r="L8" s="498"/>
      <c r="M8" s="498"/>
      <c r="N8" s="498"/>
      <c r="O8" s="496"/>
      <c r="P8" s="496"/>
      <c r="Q8" s="496"/>
      <c r="R8" s="505"/>
      <c r="S8" s="496"/>
      <c r="T8" s="302"/>
      <c r="U8" s="311"/>
      <c r="V8" s="322"/>
      <c r="W8" s="323"/>
    </row>
    <row r="9" spans="1:23" ht="15.6">
      <c r="A9" s="491"/>
      <c r="B9" s="492"/>
      <c r="C9" s="494"/>
      <c r="D9" s="495"/>
      <c r="E9" s="497"/>
      <c r="F9" s="496"/>
      <c r="G9" s="498"/>
      <c r="H9" s="495"/>
      <c r="I9" s="498"/>
      <c r="J9" s="500"/>
      <c r="K9" s="500"/>
      <c r="L9" s="498"/>
      <c r="M9" s="498"/>
      <c r="N9" s="498"/>
      <c r="O9" s="496"/>
      <c r="P9" s="496"/>
      <c r="Q9" s="496"/>
      <c r="R9" s="505"/>
      <c r="S9" s="496"/>
      <c r="T9" s="302"/>
      <c r="U9" s="311"/>
      <c r="V9" s="322"/>
      <c r="W9" s="323"/>
    </row>
    <row r="10" spans="1:23" ht="15.6">
      <c r="A10" s="491"/>
      <c r="B10" s="492"/>
      <c r="C10" s="494"/>
      <c r="D10" s="495"/>
      <c r="E10" s="497"/>
      <c r="F10" s="496"/>
      <c r="G10" s="498"/>
      <c r="H10" s="495"/>
      <c r="I10" s="498"/>
      <c r="J10" s="500"/>
      <c r="K10" s="500"/>
      <c r="L10" s="498"/>
      <c r="M10" s="498"/>
      <c r="N10" s="498"/>
      <c r="O10" s="496"/>
      <c r="P10" s="496"/>
      <c r="Q10" s="496"/>
      <c r="R10" s="505"/>
      <c r="S10" s="496"/>
      <c r="T10" s="302"/>
      <c r="U10" s="311"/>
      <c r="V10" s="322"/>
      <c r="W10" s="323"/>
    </row>
    <row r="11" spans="1:23" ht="15.6">
      <c r="A11" s="491"/>
      <c r="B11" s="492"/>
      <c r="C11" s="494"/>
      <c r="D11" s="495"/>
      <c r="E11" s="497"/>
      <c r="F11" s="496"/>
      <c r="G11" s="498"/>
      <c r="H11" s="495"/>
      <c r="I11" s="498"/>
      <c r="J11" s="500"/>
      <c r="K11" s="500"/>
      <c r="L11" s="498"/>
      <c r="M11" s="498"/>
      <c r="N11" s="498"/>
      <c r="O11" s="496"/>
      <c r="P11" s="496"/>
      <c r="Q11" s="496"/>
      <c r="R11" s="505"/>
      <c r="S11" s="496"/>
      <c r="T11" s="302"/>
      <c r="U11" s="311"/>
      <c r="V11" s="322"/>
      <c r="W11" s="323"/>
    </row>
    <row r="12" spans="1:23" ht="15.6">
      <c r="A12" s="491"/>
      <c r="B12" s="492"/>
      <c r="C12" s="494"/>
      <c r="D12" s="495"/>
      <c r="E12" s="497"/>
      <c r="F12" s="496"/>
      <c r="G12" s="498"/>
      <c r="H12" s="495"/>
      <c r="I12" s="498"/>
      <c r="J12" s="500"/>
      <c r="K12" s="500"/>
      <c r="L12" s="498"/>
      <c r="M12" s="498"/>
      <c r="N12" s="498"/>
      <c r="O12" s="496"/>
      <c r="P12" s="496"/>
      <c r="Q12" s="496"/>
      <c r="R12" s="505"/>
      <c r="S12" s="496"/>
      <c r="T12" s="302"/>
      <c r="U12" s="311"/>
      <c r="V12" s="322"/>
      <c r="W12" s="323"/>
    </row>
    <row r="13" spans="1:23" ht="15.6">
      <c r="A13" s="491"/>
      <c r="B13" s="492"/>
      <c r="C13" s="494"/>
      <c r="D13" s="495"/>
      <c r="E13" s="497"/>
      <c r="F13" s="496"/>
      <c r="G13" s="498"/>
      <c r="H13" s="495"/>
      <c r="I13" s="498"/>
      <c r="J13" s="500"/>
      <c r="K13" s="500"/>
      <c r="L13" s="498"/>
      <c r="M13" s="498"/>
      <c r="N13" s="498"/>
      <c r="O13" s="496"/>
      <c r="P13" s="496"/>
      <c r="Q13" s="496"/>
      <c r="R13" s="505"/>
      <c r="S13" s="496"/>
      <c r="T13" s="302"/>
      <c r="U13" s="311"/>
      <c r="V13" s="322"/>
      <c r="W13" s="323"/>
    </row>
    <row r="14" spans="1:23" ht="15.6">
      <c r="A14" s="491"/>
      <c r="B14" s="492"/>
      <c r="C14" s="494"/>
      <c r="D14" s="495"/>
      <c r="E14" s="497"/>
      <c r="F14" s="496"/>
      <c r="G14" s="498"/>
      <c r="H14" s="495"/>
      <c r="I14" s="498"/>
      <c r="J14" s="500"/>
      <c r="K14" s="500"/>
      <c r="L14" s="498"/>
      <c r="M14" s="498"/>
      <c r="N14" s="498"/>
      <c r="O14" s="496"/>
      <c r="P14" s="496"/>
      <c r="Q14" s="496"/>
      <c r="R14" s="505"/>
      <c r="S14" s="496"/>
      <c r="T14" s="302"/>
      <c r="U14" s="311"/>
      <c r="V14" s="322"/>
      <c r="W14" s="323"/>
    </row>
  </sheetData>
  <mergeCells count="3">
    <mergeCell ref="A2:C2"/>
    <mergeCell ref="A3:C3"/>
    <mergeCell ref="A4:C4"/>
  </mergeCells>
  <conditionalFormatting sqref="A7:A8 A10:A14">
    <cfRule type="expression" dxfId="48" priority="49">
      <formula>$CZ7="Wyłączony z obrotu"</formula>
    </cfRule>
  </conditionalFormatting>
  <conditionalFormatting sqref="A9">
    <cfRule type="expression" dxfId="47" priority="48">
      <formula>$CZ9="Wyłączony z obrotu"</formula>
    </cfRule>
  </conditionalFormatting>
  <conditionalFormatting sqref="B7:B8 B10:B14">
    <cfRule type="expression" dxfId="46" priority="46">
      <formula>$CZ7="Wyłączony z obrotu"</formula>
    </cfRule>
  </conditionalFormatting>
  <conditionalFormatting sqref="B9">
    <cfRule type="expression" dxfId="45" priority="45">
      <formula>$CZ9="Wyłączony z obrotu"</formula>
    </cfRule>
  </conditionalFormatting>
  <conditionalFormatting sqref="B7:B14">
    <cfRule type="expression" dxfId="44" priority="47">
      <formula>$CU7&gt;$CU$3</formula>
    </cfRule>
  </conditionalFormatting>
  <conditionalFormatting sqref="C7:C8 C10:C14">
    <cfRule type="expression" dxfId="43" priority="43">
      <formula>$CZ7="Wyłączony z obrotu"</formula>
    </cfRule>
  </conditionalFormatting>
  <conditionalFormatting sqref="C9">
    <cfRule type="expression" dxfId="42" priority="42">
      <formula>$CZ9="Wyłączony z obrotu"</formula>
    </cfRule>
  </conditionalFormatting>
  <conditionalFormatting sqref="C7:C14">
    <cfRule type="expression" dxfId="41" priority="44">
      <formula>$CU7&gt;$CU$3</formula>
    </cfRule>
  </conditionalFormatting>
  <conditionalFormatting sqref="D7:D8 D10:D14">
    <cfRule type="expression" dxfId="40" priority="40">
      <formula>$CZ7="Wyłączony z obrotu"</formula>
    </cfRule>
  </conditionalFormatting>
  <conditionalFormatting sqref="D9">
    <cfRule type="expression" dxfId="39" priority="39">
      <formula>$CZ9="Wyłączony z obrotu"</formula>
    </cfRule>
  </conditionalFormatting>
  <conditionalFormatting sqref="D7:D14">
    <cfRule type="expression" dxfId="38" priority="41">
      <formula>$CU7&gt;$CU$3</formula>
    </cfRule>
  </conditionalFormatting>
  <conditionalFormatting sqref="E7:E8 E10:E14">
    <cfRule type="expression" dxfId="37" priority="38">
      <formula>$CZ7="Wyłączony z obrotu"</formula>
    </cfRule>
  </conditionalFormatting>
  <conditionalFormatting sqref="E9">
    <cfRule type="expression" dxfId="36" priority="37">
      <formula>$CZ9="Wyłączony z obrotu"</formula>
    </cfRule>
  </conditionalFormatting>
  <conditionalFormatting sqref="F7:F8 F10:F14">
    <cfRule type="expression" dxfId="35" priority="35">
      <formula>$CZ7="Wyłączony z obrotu"</formula>
    </cfRule>
  </conditionalFormatting>
  <conditionalFormatting sqref="F9">
    <cfRule type="expression" dxfId="34" priority="34">
      <formula>$CZ9="Wyłączony z obrotu"</formula>
    </cfRule>
  </conditionalFormatting>
  <conditionalFormatting sqref="F7:F14">
    <cfRule type="expression" dxfId="33" priority="36">
      <formula>$CU7&gt;$CU$3</formula>
    </cfRule>
  </conditionalFormatting>
  <conditionalFormatting sqref="G7:G8 G10:G14">
    <cfRule type="expression" dxfId="32" priority="33">
      <formula>$CZ7="Wyłączony z obrotu"</formula>
    </cfRule>
  </conditionalFormatting>
  <conditionalFormatting sqref="G9">
    <cfRule type="expression" dxfId="31" priority="32">
      <formula>$CZ9="Wyłączony z obrotu"</formula>
    </cfRule>
  </conditionalFormatting>
  <conditionalFormatting sqref="H7:H8 H10:H14">
    <cfRule type="expression" dxfId="30" priority="31">
      <formula>$CZ7="Wyłączony z obrotu"</formula>
    </cfRule>
  </conditionalFormatting>
  <conditionalFormatting sqref="H9">
    <cfRule type="expression" dxfId="29" priority="30">
      <formula>$CZ9="Wyłączony z obrotu"</formula>
    </cfRule>
  </conditionalFormatting>
  <conditionalFormatting sqref="I7:I8 I10:I14">
    <cfRule type="expression" dxfId="28" priority="29">
      <formula>$CZ7="Wyłączony z obrotu"</formula>
    </cfRule>
  </conditionalFormatting>
  <conditionalFormatting sqref="I9">
    <cfRule type="expression" dxfId="27" priority="28">
      <formula>$CZ9="Wyłączony z obrotu"</formula>
    </cfRule>
  </conditionalFormatting>
  <conditionalFormatting sqref="J7:J8 J10:J14">
    <cfRule type="expression" dxfId="26" priority="27">
      <formula>$CZ7="Wyłączony z obrotu"</formula>
    </cfRule>
  </conditionalFormatting>
  <conditionalFormatting sqref="J9">
    <cfRule type="expression" dxfId="25" priority="26">
      <formula>$CZ9="Wyłączony z obrotu"</formula>
    </cfRule>
  </conditionalFormatting>
  <conditionalFormatting sqref="K7:K8 K10:K14">
    <cfRule type="expression" dxfId="24" priority="25">
      <formula>$CZ7="Wyłączony z obrotu"</formula>
    </cfRule>
  </conditionalFormatting>
  <conditionalFormatting sqref="K9">
    <cfRule type="expression" dxfId="23" priority="24">
      <formula>$CZ9="Wyłączony z obrotu"</formula>
    </cfRule>
  </conditionalFormatting>
  <conditionalFormatting sqref="L7:L8 L10:L14">
    <cfRule type="expression" dxfId="22" priority="23">
      <formula>$CZ7="Wyłączony z obrotu"</formula>
    </cfRule>
  </conditionalFormatting>
  <conditionalFormatting sqref="L9">
    <cfRule type="expression" dxfId="21" priority="22">
      <formula>$CZ9="Wyłączony z obrotu"</formula>
    </cfRule>
  </conditionalFormatting>
  <conditionalFormatting sqref="M7:M8 M10:M14">
    <cfRule type="expression" dxfId="20" priority="21">
      <formula>$CZ7="Wyłączony z obrotu"</formula>
    </cfRule>
  </conditionalFormatting>
  <conditionalFormatting sqref="M9">
    <cfRule type="expression" dxfId="19" priority="20">
      <formula>$CZ9="Wyłączony z obrotu"</formula>
    </cfRule>
  </conditionalFormatting>
  <conditionalFormatting sqref="N7:N8 N10:N14">
    <cfRule type="expression" dxfId="18" priority="19">
      <formula>$CZ7="Wyłączony z obrotu"</formula>
    </cfRule>
  </conditionalFormatting>
  <conditionalFormatting sqref="N9">
    <cfRule type="expression" dxfId="17" priority="18">
      <formula>$CZ9="Wyłączony z obrotu"</formula>
    </cfRule>
  </conditionalFormatting>
  <conditionalFormatting sqref="O7:O8 O10:O14">
    <cfRule type="expression" dxfId="16" priority="17">
      <formula>$CZ7="Wyłączony z obrotu"</formula>
    </cfRule>
  </conditionalFormatting>
  <conditionalFormatting sqref="O9">
    <cfRule type="expression" dxfId="15" priority="16">
      <formula>$CZ9="Wyłączony z obrotu"</formula>
    </cfRule>
  </conditionalFormatting>
  <conditionalFormatting sqref="P7:P8 P10:P14">
    <cfRule type="expression" dxfId="14" priority="15">
      <formula>$CZ7="Wyłączony z obrotu"</formula>
    </cfRule>
  </conditionalFormatting>
  <conditionalFormatting sqref="P9">
    <cfRule type="expression" dxfId="13" priority="14">
      <formula>$CZ9="Wyłączony z obrotu"</formula>
    </cfRule>
  </conditionalFormatting>
  <conditionalFormatting sqref="Q7:Q8 Q10:Q14">
    <cfRule type="expression" dxfId="12" priority="13">
      <formula>$CZ7="Wyłączony z obrotu"</formula>
    </cfRule>
  </conditionalFormatting>
  <conditionalFormatting sqref="Q9">
    <cfRule type="expression" dxfId="11" priority="12">
      <formula>$CZ9="Wyłączony z obrotu"</formula>
    </cfRule>
  </conditionalFormatting>
  <conditionalFormatting sqref="R7:R8 R10:R14">
    <cfRule type="expression" dxfId="10" priority="11">
      <formula>$CZ7="Wyłączony z obrotu"</formula>
    </cfRule>
  </conditionalFormatting>
  <conditionalFormatting sqref="R9">
    <cfRule type="expression" dxfId="9" priority="10">
      <formula>$CZ9="Wyłączony z obrotu"</formula>
    </cfRule>
  </conditionalFormatting>
  <conditionalFormatting sqref="S7:S8 S10:S14">
    <cfRule type="expression" dxfId="8" priority="9">
      <formula>$CZ7="Wyłączony z obrotu"</formula>
    </cfRule>
  </conditionalFormatting>
  <conditionalFormatting sqref="S9">
    <cfRule type="expression" dxfId="7" priority="8">
      <formula>$CZ9="Wyłączony z obrotu"</formula>
    </cfRule>
  </conditionalFormatting>
  <conditionalFormatting sqref="T7:T14">
    <cfRule type="expression" dxfId="6" priority="7">
      <formula>$CZ7="Wyłączony z obrotu"</formula>
    </cfRule>
  </conditionalFormatting>
  <conditionalFormatting sqref="U7:U8 U10:U14">
    <cfRule type="expression" dxfId="5" priority="6">
      <formula>$CZ7="Wyłączony z obrotu"</formula>
    </cfRule>
  </conditionalFormatting>
  <conditionalFormatting sqref="U9">
    <cfRule type="expression" dxfId="4" priority="5">
      <formula>$CZ9="Wyłączony z obrotu"</formula>
    </cfRule>
  </conditionalFormatting>
  <conditionalFormatting sqref="V7:V8 V10:V14">
    <cfRule type="expression" dxfId="3" priority="4">
      <formula>$CZ7="Wyłączony z obrotu"</formula>
    </cfRule>
  </conditionalFormatting>
  <conditionalFormatting sqref="V9">
    <cfRule type="expression" dxfId="2" priority="3">
      <formula>$CZ9="Wyłączony z obrotu"</formula>
    </cfRule>
  </conditionalFormatting>
  <conditionalFormatting sqref="W7:W8 W10:W14">
    <cfRule type="expression" dxfId="1" priority="2">
      <formula>$CZ7="Wyłączony z obrotu"</formula>
    </cfRule>
  </conditionalFormatting>
  <conditionalFormatting sqref="W9">
    <cfRule type="expression" dxfId="0" priority="1">
      <formula>$CZ9="Wyłączony z obrotu"</formula>
    </cfRule>
  </conditionalFormatting>
  <pageMargins left="0.36" right="0.24" top="0.35" bottom="0.37" header="0.2" footer="0.32"/>
  <pageSetup paperSize="9" scale="32" orientation="landscape" cellComments="asDisplayed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>
    <tabColor theme="0" tint="-0.14999847407452621"/>
  </sheetPr>
  <dimension ref="A1:E920"/>
  <sheetViews>
    <sheetView topLeftCell="A857" zoomScale="90" zoomScaleNormal="90" workbookViewId="0">
      <selection activeCell="B869" sqref="B869"/>
    </sheetView>
  </sheetViews>
  <sheetFormatPr defaultColWidth="9.109375" defaultRowHeight="13.2"/>
  <cols>
    <col min="1" max="1" width="14.33203125" style="2" bestFit="1" customWidth="1"/>
    <col min="2" max="2" width="118.88671875" style="2" customWidth="1"/>
    <col min="3" max="3" width="13.88671875" style="2" customWidth="1"/>
    <col min="4" max="16384" width="9.109375" style="2"/>
  </cols>
  <sheetData>
    <row r="1" spans="1:5">
      <c r="A1" s="1" t="s">
        <v>125</v>
      </c>
      <c r="B1" s="3" t="s">
        <v>1009</v>
      </c>
      <c r="C1" s="2" t="s">
        <v>1693</v>
      </c>
    </row>
    <row r="2" spans="1:5">
      <c r="A2" s="2" t="s">
        <v>127</v>
      </c>
      <c r="B2" s="2" t="s">
        <v>128</v>
      </c>
      <c r="C2" s="2" t="s">
        <v>1040</v>
      </c>
      <c r="D2" s="2" t="s">
        <v>1694</v>
      </c>
      <c r="E2" s="2" t="s">
        <v>1695</v>
      </c>
    </row>
    <row r="3" spans="1:5">
      <c r="A3" s="2" t="s">
        <v>129</v>
      </c>
      <c r="B3" s="2" t="s">
        <v>130</v>
      </c>
      <c r="C3" s="2" t="s">
        <v>1040</v>
      </c>
      <c r="D3" s="2" t="s">
        <v>1696</v>
      </c>
      <c r="E3" s="2" t="s">
        <v>1697</v>
      </c>
    </row>
    <row r="4" spans="1:5">
      <c r="A4" s="2" t="s">
        <v>131</v>
      </c>
      <c r="B4" s="2" t="s">
        <v>132</v>
      </c>
      <c r="C4" s="2" t="s">
        <v>1040</v>
      </c>
      <c r="D4" s="2" t="s">
        <v>1243</v>
      </c>
      <c r="E4" s="2" t="s">
        <v>1698</v>
      </c>
    </row>
    <row r="5" spans="1:5">
      <c r="A5" s="2" t="s">
        <v>133</v>
      </c>
      <c r="B5" s="2" t="s">
        <v>134</v>
      </c>
      <c r="C5" s="2" t="s">
        <v>1040</v>
      </c>
      <c r="D5" s="2" t="s">
        <v>1699</v>
      </c>
      <c r="E5" s="2" t="s">
        <v>1700</v>
      </c>
    </row>
    <row r="6" spans="1:5">
      <c r="A6" s="2" t="s">
        <v>135</v>
      </c>
      <c r="B6" s="2" t="s">
        <v>136</v>
      </c>
      <c r="C6" s="2" t="s">
        <v>1040</v>
      </c>
    </row>
    <row r="7" spans="1:5">
      <c r="A7" s="2" t="s">
        <v>137</v>
      </c>
      <c r="B7" s="2" t="s">
        <v>138</v>
      </c>
      <c r="C7" s="2" t="s">
        <v>1040</v>
      </c>
    </row>
    <row r="8" spans="1:5">
      <c r="A8" s="2" t="s">
        <v>139</v>
      </c>
      <c r="B8" s="2" t="s">
        <v>140</v>
      </c>
      <c r="C8" s="2" t="s">
        <v>1040</v>
      </c>
    </row>
    <row r="9" spans="1:5">
      <c r="A9" s="2" t="s">
        <v>141</v>
      </c>
      <c r="B9" s="2" t="s">
        <v>142</v>
      </c>
      <c r="C9" s="2" t="s">
        <v>1040</v>
      </c>
    </row>
    <row r="10" spans="1:5">
      <c r="A10" s="2" t="s">
        <v>143</v>
      </c>
      <c r="B10" s="2" t="s">
        <v>144</v>
      </c>
      <c r="C10" s="2" t="s">
        <v>1040</v>
      </c>
    </row>
    <row r="11" spans="1:5">
      <c r="A11" s="2" t="s">
        <v>145</v>
      </c>
      <c r="B11" s="2" t="s">
        <v>146</v>
      </c>
      <c r="C11" s="2" t="s">
        <v>1040</v>
      </c>
    </row>
    <row r="12" spans="1:5">
      <c r="A12" s="2" t="s">
        <v>147</v>
      </c>
      <c r="B12" s="2" t="s">
        <v>148</v>
      </c>
      <c r="C12" s="2" t="s">
        <v>1040</v>
      </c>
    </row>
    <row r="13" spans="1:5">
      <c r="A13" s="2" t="s">
        <v>149</v>
      </c>
      <c r="B13" s="2" t="s">
        <v>1041</v>
      </c>
      <c r="C13" s="2" t="s">
        <v>1040</v>
      </c>
    </row>
    <row r="14" spans="1:5">
      <c r="A14" s="2" t="s">
        <v>150</v>
      </c>
      <c r="B14" s="2" t="s">
        <v>151</v>
      </c>
      <c r="C14" s="2" t="s">
        <v>1040</v>
      </c>
    </row>
    <row r="15" spans="1:5">
      <c r="A15" s="2" t="s">
        <v>152</v>
      </c>
      <c r="B15" s="2" t="s">
        <v>153</v>
      </c>
      <c r="C15" s="2" t="s">
        <v>1040</v>
      </c>
    </row>
    <row r="16" spans="1:5">
      <c r="A16" s="2" t="s">
        <v>154</v>
      </c>
      <c r="B16" s="2" t="s">
        <v>155</v>
      </c>
      <c r="C16" s="2" t="s">
        <v>1040</v>
      </c>
    </row>
    <row r="17" spans="1:3">
      <c r="A17" s="2" t="s">
        <v>156</v>
      </c>
      <c r="B17" s="2" t="s">
        <v>157</v>
      </c>
      <c r="C17" s="2" t="s">
        <v>1040</v>
      </c>
    </row>
    <row r="18" spans="1:3">
      <c r="A18" s="2" t="s">
        <v>158</v>
      </c>
      <c r="B18" s="2" t="s">
        <v>159</v>
      </c>
      <c r="C18" s="2" t="s">
        <v>1040</v>
      </c>
    </row>
    <row r="19" spans="1:3">
      <c r="A19" s="2" t="s">
        <v>160</v>
      </c>
      <c r="B19" s="2" t="s">
        <v>1042</v>
      </c>
      <c r="C19" s="2" t="s">
        <v>1043</v>
      </c>
    </row>
    <row r="20" spans="1:3">
      <c r="A20" s="2" t="s">
        <v>161</v>
      </c>
      <c r="B20" s="2" t="s">
        <v>162</v>
      </c>
      <c r="C20" s="2" t="s">
        <v>1040</v>
      </c>
    </row>
    <row r="21" spans="1:3">
      <c r="A21" s="2" t="s">
        <v>163</v>
      </c>
      <c r="B21" s="2" t="s">
        <v>164</v>
      </c>
      <c r="C21" s="2" t="s">
        <v>1040</v>
      </c>
    </row>
    <row r="22" spans="1:3">
      <c r="A22" s="2" t="s">
        <v>165</v>
      </c>
      <c r="B22" s="2" t="s">
        <v>166</v>
      </c>
      <c r="C22" s="2" t="s">
        <v>1040</v>
      </c>
    </row>
    <row r="23" spans="1:3">
      <c r="A23" s="2" t="s">
        <v>167</v>
      </c>
      <c r="B23" s="2" t="s">
        <v>168</v>
      </c>
      <c r="C23" s="2" t="s">
        <v>1040</v>
      </c>
    </row>
    <row r="24" spans="1:3">
      <c r="A24" s="2" t="s">
        <v>169</v>
      </c>
      <c r="B24" s="2" t="s">
        <v>170</v>
      </c>
      <c r="C24" s="2" t="s">
        <v>1040</v>
      </c>
    </row>
    <row r="25" spans="1:3">
      <c r="A25" s="2" t="s">
        <v>171</v>
      </c>
      <c r="B25" s="2" t="s">
        <v>1044</v>
      </c>
      <c r="C25" s="2" t="s">
        <v>1040</v>
      </c>
    </row>
    <row r="26" spans="1:3">
      <c r="A26" s="2" t="s">
        <v>172</v>
      </c>
      <c r="B26" s="2" t="s">
        <v>173</v>
      </c>
      <c r="C26" s="2" t="s">
        <v>1040</v>
      </c>
    </row>
    <row r="27" spans="1:3">
      <c r="A27" s="2" t="s">
        <v>174</v>
      </c>
      <c r="B27" s="2" t="s">
        <v>1045</v>
      </c>
      <c r="C27" s="2" t="s">
        <v>1043</v>
      </c>
    </row>
    <row r="28" spans="1:3">
      <c r="A28" s="2" t="s">
        <v>175</v>
      </c>
      <c r="B28" s="2" t="s">
        <v>1046</v>
      </c>
      <c r="C28" s="2" t="s">
        <v>1043</v>
      </c>
    </row>
    <row r="29" spans="1:3">
      <c r="A29" s="2" t="s">
        <v>176</v>
      </c>
      <c r="B29" s="2" t="s">
        <v>1047</v>
      </c>
      <c r="C29" s="2" t="s">
        <v>1043</v>
      </c>
    </row>
    <row r="30" spans="1:3">
      <c r="A30" s="2" t="s">
        <v>177</v>
      </c>
      <c r="B30" s="2" t="s">
        <v>1048</v>
      </c>
      <c r="C30" s="2" t="s">
        <v>1043</v>
      </c>
    </row>
    <row r="31" spans="1:3">
      <c r="A31" s="2" t="s">
        <v>178</v>
      </c>
      <c r="B31" s="2" t="s">
        <v>1049</v>
      </c>
      <c r="C31" s="2" t="s">
        <v>1050</v>
      </c>
    </row>
    <row r="32" spans="1:3">
      <c r="A32" s="2" t="s">
        <v>179</v>
      </c>
      <c r="B32" s="2" t="s">
        <v>1051</v>
      </c>
      <c r="C32" s="2" t="s">
        <v>1050</v>
      </c>
    </row>
    <row r="33" spans="1:3">
      <c r="A33" s="2" t="s">
        <v>180</v>
      </c>
      <c r="B33" s="2" t="s">
        <v>1045</v>
      </c>
      <c r="C33" s="2" t="s">
        <v>1043</v>
      </c>
    </row>
    <row r="34" spans="1:3">
      <c r="A34" s="2" t="s">
        <v>181</v>
      </c>
      <c r="B34" s="2" t="s">
        <v>1052</v>
      </c>
      <c r="C34" s="2" t="s">
        <v>1043</v>
      </c>
    </row>
    <row r="35" spans="1:3">
      <c r="A35" s="2" t="s">
        <v>182</v>
      </c>
      <c r="B35" s="2" t="s">
        <v>200</v>
      </c>
      <c r="C35" s="2" t="s">
        <v>1040</v>
      </c>
    </row>
    <row r="36" spans="1:3">
      <c r="A36" s="2" t="s">
        <v>183</v>
      </c>
      <c r="B36" s="2" t="s">
        <v>1053</v>
      </c>
      <c r="C36" s="2" t="s">
        <v>1043</v>
      </c>
    </row>
    <row r="37" spans="1:3">
      <c r="A37" s="2" t="s">
        <v>184</v>
      </c>
      <c r="B37" s="2" t="s">
        <v>1054</v>
      </c>
      <c r="C37" s="2" t="s">
        <v>1043</v>
      </c>
    </row>
    <row r="38" spans="1:3">
      <c r="A38" s="2" t="s">
        <v>185</v>
      </c>
      <c r="B38" s="2" t="s">
        <v>186</v>
      </c>
      <c r="C38" s="2" t="s">
        <v>1040</v>
      </c>
    </row>
    <row r="39" spans="1:3">
      <c r="A39" s="2" t="s">
        <v>187</v>
      </c>
      <c r="B39" s="2" t="s">
        <v>1055</v>
      </c>
      <c r="C39" s="2" t="s">
        <v>1043</v>
      </c>
    </row>
    <row r="40" spans="1:3">
      <c r="A40" s="2" t="s">
        <v>188</v>
      </c>
      <c r="B40" s="2" t="s">
        <v>1056</v>
      </c>
      <c r="C40" s="2" t="s">
        <v>1050</v>
      </c>
    </row>
    <row r="41" spans="1:3">
      <c r="A41" s="2" t="s">
        <v>189</v>
      </c>
      <c r="B41" s="2" t="s">
        <v>1057</v>
      </c>
      <c r="C41" s="2" t="s">
        <v>1043</v>
      </c>
    </row>
    <row r="42" spans="1:3">
      <c r="A42" s="2" t="s">
        <v>190</v>
      </c>
      <c r="B42" s="2" t="s">
        <v>1058</v>
      </c>
      <c r="C42" s="2" t="s">
        <v>1043</v>
      </c>
    </row>
    <row r="43" spans="1:3">
      <c r="A43" s="2" t="s">
        <v>191</v>
      </c>
      <c r="B43" s="2" t="s">
        <v>1059</v>
      </c>
      <c r="C43" s="2" t="s">
        <v>1040</v>
      </c>
    </row>
    <row r="44" spans="1:3">
      <c r="A44" s="2" t="s">
        <v>192</v>
      </c>
      <c r="B44" s="2" t="s">
        <v>193</v>
      </c>
      <c r="C44" s="2" t="s">
        <v>1040</v>
      </c>
    </row>
    <row r="45" spans="1:3">
      <c r="A45" s="2" t="s">
        <v>194</v>
      </c>
      <c r="B45" s="2" t="s">
        <v>195</v>
      </c>
      <c r="C45" s="2" t="s">
        <v>1040</v>
      </c>
    </row>
    <row r="46" spans="1:3">
      <c r="A46" s="2" t="s">
        <v>196</v>
      </c>
      <c r="B46" s="2" t="s">
        <v>1060</v>
      </c>
      <c r="C46" s="2" t="s">
        <v>1043</v>
      </c>
    </row>
    <row r="47" spans="1:3">
      <c r="A47" s="2" t="s">
        <v>197</v>
      </c>
      <c r="B47" s="2" t="s">
        <v>1045</v>
      </c>
      <c r="C47" s="2" t="s">
        <v>1043</v>
      </c>
    </row>
    <row r="48" spans="1:3">
      <c r="A48" s="2" t="s">
        <v>198</v>
      </c>
      <c r="B48" s="2" t="s">
        <v>1061</v>
      </c>
      <c r="C48" s="2" t="s">
        <v>1043</v>
      </c>
    </row>
    <row r="49" spans="1:3">
      <c r="A49" s="2" t="s">
        <v>199</v>
      </c>
      <c r="B49" s="2" t="s">
        <v>1062</v>
      </c>
      <c r="C49" s="2" t="s">
        <v>1043</v>
      </c>
    </row>
    <row r="50" spans="1:3">
      <c r="A50" s="2" t="s">
        <v>201</v>
      </c>
      <c r="B50" s="2" t="s">
        <v>1063</v>
      </c>
      <c r="C50" s="2" t="s">
        <v>1043</v>
      </c>
    </row>
    <row r="51" spans="1:3">
      <c r="A51" s="2" t="s">
        <v>202</v>
      </c>
      <c r="B51" s="2" t="s">
        <v>1064</v>
      </c>
      <c r="C51" s="2" t="s">
        <v>1043</v>
      </c>
    </row>
    <row r="52" spans="1:3">
      <c r="A52" s="2" t="s">
        <v>203</v>
      </c>
      <c r="B52" s="2" t="s">
        <v>204</v>
      </c>
      <c r="C52" s="2" t="s">
        <v>1040</v>
      </c>
    </row>
    <row r="53" spans="1:3">
      <c r="A53" s="2" t="s">
        <v>205</v>
      </c>
      <c r="B53" s="2" t="s">
        <v>1065</v>
      </c>
      <c r="C53" s="2" t="s">
        <v>1043</v>
      </c>
    </row>
    <row r="54" spans="1:3">
      <c r="A54" s="2" t="s">
        <v>206</v>
      </c>
      <c r="B54" s="2" t="s">
        <v>1066</v>
      </c>
      <c r="C54" s="2" t="s">
        <v>1043</v>
      </c>
    </row>
    <row r="55" spans="1:3">
      <c r="A55" s="2" t="s">
        <v>207</v>
      </c>
      <c r="B55" s="2" t="s">
        <v>1045</v>
      </c>
      <c r="C55" s="2" t="s">
        <v>1043</v>
      </c>
    </row>
    <row r="56" spans="1:3">
      <c r="A56" s="2" t="s">
        <v>208</v>
      </c>
      <c r="B56" s="2" t="s">
        <v>1067</v>
      </c>
      <c r="C56" s="2" t="s">
        <v>1043</v>
      </c>
    </row>
    <row r="57" spans="1:3">
      <c r="A57" s="2" t="s">
        <v>209</v>
      </c>
      <c r="B57" s="2" t="s">
        <v>1068</v>
      </c>
      <c r="C57" s="2" t="s">
        <v>1043</v>
      </c>
    </row>
    <row r="58" spans="1:3">
      <c r="A58" s="2" t="s">
        <v>210</v>
      </c>
      <c r="B58" s="2" t="s">
        <v>1069</v>
      </c>
      <c r="C58" s="2" t="s">
        <v>1043</v>
      </c>
    </row>
    <row r="59" spans="1:3">
      <c r="A59" s="2" t="s">
        <v>211</v>
      </c>
      <c r="B59" s="2" t="s">
        <v>1063</v>
      </c>
      <c r="C59" s="2" t="s">
        <v>1043</v>
      </c>
    </row>
    <row r="60" spans="1:3">
      <c r="A60" s="2" t="s">
        <v>212</v>
      </c>
      <c r="B60" s="2" t="s">
        <v>1064</v>
      </c>
      <c r="C60" s="2" t="s">
        <v>1043</v>
      </c>
    </row>
    <row r="61" spans="1:3">
      <c r="A61" s="2" t="s">
        <v>213</v>
      </c>
      <c r="B61" s="2" t="s">
        <v>1070</v>
      </c>
      <c r="C61" s="2" t="s">
        <v>1043</v>
      </c>
    </row>
    <row r="62" spans="1:3">
      <c r="A62" s="2" t="s">
        <v>214</v>
      </c>
      <c r="B62" s="2" t="s">
        <v>1071</v>
      </c>
      <c r="C62" s="2" t="s">
        <v>1043</v>
      </c>
    </row>
    <row r="63" spans="1:3">
      <c r="A63" s="2" t="s">
        <v>215</v>
      </c>
      <c r="B63" s="2" t="s">
        <v>1072</v>
      </c>
      <c r="C63" s="2" t="s">
        <v>1043</v>
      </c>
    </row>
    <row r="64" spans="1:3">
      <c r="A64" s="2" t="s">
        <v>216</v>
      </c>
      <c r="B64" s="2" t="s">
        <v>1045</v>
      </c>
      <c r="C64" s="2" t="s">
        <v>1043</v>
      </c>
    </row>
    <row r="65" spans="1:3">
      <c r="A65" s="2" t="s">
        <v>1073</v>
      </c>
      <c r="B65" s="2" t="s">
        <v>1074</v>
      </c>
      <c r="C65" s="2" t="s">
        <v>1043</v>
      </c>
    </row>
    <row r="66" spans="1:3">
      <c r="A66" s="2" t="s">
        <v>217</v>
      </c>
      <c r="B66" s="2" t="s">
        <v>1075</v>
      </c>
      <c r="C66" s="2" t="s">
        <v>1043</v>
      </c>
    </row>
    <row r="67" spans="1:3">
      <c r="A67" s="2" t="s">
        <v>218</v>
      </c>
      <c r="B67" s="2" t="s">
        <v>1064</v>
      </c>
      <c r="C67" s="2" t="s">
        <v>1043</v>
      </c>
    </row>
    <row r="68" spans="1:3">
      <c r="A68" s="2" t="s">
        <v>219</v>
      </c>
      <c r="B68" s="2" t="s">
        <v>1076</v>
      </c>
      <c r="C68" s="2" t="s">
        <v>1043</v>
      </c>
    </row>
    <row r="69" spans="1:3">
      <c r="A69" s="2" t="s">
        <v>220</v>
      </c>
      <c r="B69" s="2" t="s">
        <v>1045</v>
      </c>
      <c r="C69" s="2" t="s">
        <v>1043</v>
      </c>
    </row>
    <row r="70" spans="1:3">
      <c r="A70" s="2" t="s">
        <v>221</v>
      </c>
      <c r="B70" s="2" t="s">
        <v>1077</v>
      </c>
      <c r="C70" s="2" t="s">
        <v>1043</v>
      </c>
    </row>
    <row r="71" spans="1:3">
      <c r="A71" s="2" t="s">
        <v>222</v>
      </c>
      <c r="B71" s="2" t="s">
        <v>1064</v>
      </c>
      <c r="C71" s="2" t="s">
        <v>1043</v>
      </c>
    </row>
    <row r="72" spans="1:3">
      <c r="A72" s="2" t="s">
        <v>223</v>
      </c>
      <c r="B72" s="2" t="s">
        <v>1078</v>
      </c>
      <c r="C72" s="2" t="s">
        <v>1043</v>
      </c>
    </row>
    <row r="73" spans="1:3">
      <c r="A73" s="2" t="s">
        <v>224</v>
      </c>
      <c r="B73" s="2" t="s">
        <v>1045</v>
      </c>
      <c r="C73" s="2" t="s">
        <v>1043</v>
      </c>
    </row>
    <row r="74" spans="1:3">
      <c r="A74" s="2" t="s">
        <v>225</v>
      </c>
      <c r="B74" s="2" t="s">
        <v>1079</v>
      </c>
      <c r="C74" s="2" t="s">
        <v>1043</v>
      </c>
    </row>
    <row r="75" spans="1:3">
      <c r="A75" s="2" t="s">
        <v>226</v>
      </c>
      <c r="B75" s="2" t="s">
        <v>1068</v>
      </c>
      <c r="C75" s="2" t="s">
        <v>1043</v>
      </c>
    </row>
    <row r="76" spans="1:3">
      <c r="A76" s="2" t="s">
        <v>227</v>
      </c>
      <c r="B76" s="2" t="s">
        <v>1064</v>
      </c>
      <c r="C76" s="2" t="s">
        <v>1043</v>
      </c>
    </row>
    <row r="77" spans="1:3">
      <c r="A77" s="2" t="s">
        <v>228</v>
      </c>
      <c r="B77" s="2" t="s">
        <v>1080</v>
      </c>
      <c r="C77" s="2" t="s">
        <v>1043</v>
      </c>
    </row>
    <row r="78" spans="1:3">
      <c r="A78" s="2" t="s">
        <v>229</v>
      </c>
      <c r="B78" s="2" t="s">
        <v>1045</v>
      </c>
      <c r="C78" s="2" t="s">
        <v>1043</v>
      </c>
    </row>
    <row r="79" spans="1:3">
      <c r="A79" s="2" t="s">
        <v>230</v>
      </c>
      <c r="B79" s="2" t="s">
        <v>1081</v>
      </c>
      <c r="C79" s="2" t="s">
        <v>1043</v>
      </c>
    </row>
    <row r="80" spans="1:3">
      <c r="A80" s="2" t="s">
        <v>231</v>
      </c>
      <c r="B80" s="2" t="s">
        <v>1082</v>
      </c>
      <c r="C80" s="2" t="s">
        <v>1043</v>
      </c>
    </row>
    <row r="81" spans="1:3">
      <c r="A81" s="2" t="s">
        <v>232</v>
      </c>
      <c r="B81" s="2" t="s">
        <v>1083</v>
      </c>
      <c r="C81" s="2" t="s">
        <v>1043</v>
      </c>
    </row>
    <row r="82" spans="1:3">
      <c r="A82" s="2" t="s">
        <v>233</v>
      </c>
      <c r="B82" s="2" t="s">
        <v>1079</v>
      </c>
      <c r="C82" s="2" t="s">
        <v>1043</v>
      </c>
    </row>
    <row r="83" spans="1:3">
      <c r="A83" s="2" t="s">
        <v>234</v>
      </c>
      <c r="B83" s="2" t="s">
        <v>1064</v>
      </c>
      <c r="C83" s="2" t="s">
        <v>1043</v>
      </c>
    </row>
    <row r="84" spans="1:3">
      <c r="A84" s="2" t="s">
        <v>235</v>
      </c>
      <c r="B84" s="2" t="s">
        <v>1084</v>
      </c>
      <c r="C84" s="2" t="s">
        <v>1043</v>
      </c>
    </row>
    <row r="85" spans="1:3">
      <c r="A85" s="2" t="s">
        <v>236</v>
      </c>
      <c r="B85" s="2" t="s">
        <v>1045</v>
      </c>
      <c r="C85" s="2" t="s">
        <v>1043</v>
      </c>
    </row>
    <row r="86" spans="1:3">
      <c r="A86" s="2" t="s">
        <v>237</v>
      </c>
      <c r="B86" s="2" t="s">
        <v>1085</v>
      </c>
      <c r="C86" s="2" t="s">
        <v>1043</v>
      </c>
    </row>
    <row r="87" spans="1:3">
      <c r="A87" s="2" t="s">
        <v>238</v>
      </c>
      <c r="B87" s="2" t="s">
        <v>1086</v>
      </c>
      <c r="C87" s="2" t="s">
        <v>1050</v>
      </c>
    </row>
    <row r="88" spans="1:3">
      <c r="A88" s="2" t="s">
        <v>239</v>
      </c>
      <c r="B88" s="2" t="s">
        <v>1087</v>
      </c>
      <c r="C88" s="2" t="s">
        <v>1043</v>
      </c>
    </row>
    <row r="89" spans="1:3">
      <c r="A89" s="2" t="s">
        <v>240</v>
      </c>
      <c r="B89" s="2" t="s">
        <v>1088</v>
      </c>
      <c r="C89" s="2" t="s">
        <v>1050</v>
      </c>
    </row>
    <row r="90" spans="1:3">
      <c r="A90" s="2" t="s">
        <v>241</v>
      </c>
      <c r="B90" s="2" t="s">
        <v>1089</v>
      </c>
      <c r="C90" s="2" t="s">
        <v>1043</v>
      </c>
    </row>
    <row r="91" spans="1:3">
      <c r="A91" s="2" t="s">
        <v>242</v>
      </c>
      <c r="B91" s="2" t="s">
        <v>1064</v>
      </c>
      <c r="C91" s="2" t="s">
        <v>1043</v>
      </c>
    </row>
    <row r="92" spans="1:3">
      <c r="A92" s="2" t="s">
        <v>243</v>
      </c>
      <c r="B92" s="2" t="s">
        <v>1045</v>
      </c>
      <c r="C92" s="2" t="s">
        <v>1043</v>
      </c>
    </row>
    <row r="93" spans="1:3">
      <c r="A93" s="2" t="s">
        <v>244</v>
      </c>
      <c r="B93" s="2" t="s">
        <v>1090</v>
      </c>
      <c r="C93" s="2" t="s">
        <v>1050</v>
      </c>
    </row>
    <row r="94" spans="1:3">
      <c r="A94" s="2" t="s">
        <v>245</v>
      </c>
      <c r="B94" s="2" t="s">
        <v>1091</v>
      </c>
      <c r="C94" s="2" t="s">
        <v>1050</v>
      </c>
    </row>
    <row r="95" spans="1:3">
      <c r="A95" s="2" t="s">
        <v>246</v>
      </c>
      <c r="B95" s="2" t="s">
        <v>1092</v>
      </c>
      <c r="C95" s="2" t="s">
        <v>1050</v>
      </c>
    </row>
    <row r="96" spans="1:3">
      <c r="A96" s="2" t="s">
        <v>247</v>
      </c>
      <c r="B96" s="2" t="s">
        <v>1093</v>
      </c>
      <c r="C96" s="2" t="s">
        <v>1050</v>
      </c>
    </row>
    <row r="97" spans="1:3">
      <c r="A97" s="2" t="s">
        <v>248</v>
      </c>
      <c r="B97" s="2" t="s">
        <v>1094</v>
      </c>
      <c r="C97" s="2" t="s">
        <v>1050</v>
      </c>
    </row>
    <row r="98" spans="1:3">
      <c r="A98" s="2" t="s">
        <v>249</v>
      </c>
      <c r="B98" s="2" t="s">
        <v>1045</v>
      </c>
      <c r="C98" s="2" t="s">
        <v>1043</v>
      </c>
    </row>
    <row r="99" spans="1:3">
      <c r="A99" s="2" t="s">
        <v>250</v>
      </c>
      <c r="B99" s="2" t="s">
        <v>1095</v>
      </c>
      <c r="C99" s="2" t="s">
        <v>1043</v>
      </c>
    </row>
    <row r="100" spans="1:3">
      <c r="A100" s="2" t="s">
        <v>251</v>
      </c>
      <c r="B100" s="2" t="s">
        <v>1096</v>
      </c>
      <c r="C100" s="2" t="s">
        <v>1043</v>
      </c>
    </row>
    <row r="101" spans="1:3">
      <c r="A101" s="2" t="s">
        <v>252</v>
      </c>
      <c r="B101" s="2" t="s">
        <v>1097</v>
      </c>
      <c r="C101" s="2" t="s">
        <v>1043</v>
      </c>
    </row>
    <row r="102" spans="1:3">
      <c r="A102" s="2" t="s">
        <v>253</v>
      </c>
      <c r="B102" s="2" t="s">
        <v>1098</v>
      </c>
      <c r="C102" s="2" t="s">
        <v>1043</v>
      </c>
    </row>
    <row r="103" spans="1:3">
      <c r="A103" s="2" t="s">
        <v>254</v>
      </c>
      <c r="B103" s="2" t="s">
        <v>1099</v>
      </c>
      <c r="C103" s="2" t="s">
        <v>1043</v>
      </c>
    </row>
    <row r="104" spans="1:3">
      <c r="A104" s="2" t="s">
        <v>255</v>
      </c>
      <c r="B104" s="2" t="s">
        <v>1100</v>
      </c>
      <c r="C104" s="2" t="s">
        <v>1043</v>
      </c>
    </row>
    <row r="105" spans="1:3">
      <c r="A105" s="2" t="s">
        <v>256</v>
      </c>
      <c r="B105" s="2" t="s">
        <v>1101</v>
      </c>
      <c r="C105" s="2" t="s">
        <v>1043</v>
      </c>
    </row>
    <row r="106" spans="1:3">
      <c r="A106" s="2" t="s">
        <v>257</v>
      </c>
      <c r="B106" s="2" t="s">
        <v>1102</v>
      </c>
      <c r="C106" s="2" t="s">
        <v>1043</v>
      </c>
    </row>
    <row r="107" spans="1:3">
      <c r="A107" s="2" t="s">
        <v>258</v>
      </c>
      <c r="B107" s="2" t="s">
        <v>259</v>
      </c>
      <c r="C107" s="2" t="s">
        <v>1040</v>
      </c>
    </row>
    <row r="108" spans="1:3">
      <c r="A108" s="2" t="s">
        <v>260</v>
      </c>
      <c r="B108" s="2" t="s">
        <v>261</v>
      </c>
      <c r="C108" s="2" t="s">
        <v>1040</v>
      </c>
    </row>
    <row r="109" spans="1:3">
      <c r="A109" s="2" t="s">
        <v>262</v>
      </c>
      <c r="B109" s="2" t="s">
        <v>1045</v>
      </c>
      <c r="C109" s="2" t="s">
        <v>1043</v>
      </c>
    </row>
    <row r="110" spans="1:3">
      <c r="A110" s="2" t="s">
        <v>263</v>
      </c>
      <c r="B110" s="2" t="s">
        <v>264</v>
      </c>
      <c r="C110" s="2" t="s">
        <v>1040</v>
      </c>
    </row>
    <row r="111" spans="1:3">
      <c r="A111" s="2" t="s">
        <v>265</v>
      </c>
      <c r="B111" s="2" t="s">
        <v>266</v>
      </c>
      <c r="C111" s="2" t="s">
        <v>1040</v>
      </c>
    </row>
    <row r="112" spans="1:3">
      <c r="A112" s="2" t="s">
        <v>267</v>
      </c>
      <c r="B112" s="2" t="s">
        <v>1103</v>
      </c>
      <c r="C112" s="2" t="s">
        <v>1050</v>
      </c>
    </row>
    <row r="113" spans="1:3">
      <c r="A113" s="2" t="s">
        <v>268</v>
      </c>
      <c r="B113" s="2" t="s">
        <v>1104</v>
      </c>
      <c r="C113" s="2" t="s">
        <v>1043</v>
      </c>
    </row>
    <row r="114" spans="1:3">
      <c r="A114" s="2" t="s">
        <v>269</v>
      </c>
      <c r="B114" s="2" t="s">
        <v>1105</v>
      </c>
      <c r="C114" s="2" t="s">
        <v>1043</v>
      </c>
    </row>
    <row r="115" spans="1:3">
      <c r="A115" s="2" t="s">
        <v>270</v>
      </c>
      <c r="B115" s="2" t="s">
        <v>1106</v>
      </c>
      <c r="C115" s="2" t="s">
        <v>1043</v>
      </c>
    </row>
    <row r="116" spans="1:3">
      <c r="A116" s="2" t="s">
        <v>271</v>
      </c>
      <c r="B116" s="2" t="s">
        <v>1107</v>
      </c>
      <c r="C116" s="2" t="s">
        <v>1043</v>
      </c>
    </row>
    <row r="117" spans="1:3">
      <c r="A117" s="2" t="s">
        <v>272</v>
      </c>
      <c r="B117" s="2" t="s">
        <v>1108</v>
      </c>
      <c r="C117" s="2" t="s">
        <v>1043</v>
      </c>
    </row>
    <row r="118" spans="1:3">
      <c r="A118" s="2" t="s">
        <v>273</v>
      </c>
      <c r="B118" s="2" t="s">
        <v>1109</v>
      </c>
      <c r="C118" s="2" t="s">
        <v>1043</v>
      </c>
    </row>
    <row r="119" spans="1:3">
      <c r="A119" s="2" t="s">
        <v>274</v>
      </c>
      <c r="B119" s="2" t="s">
        <v>1045</v>
      </c>
      <c r="C119" s="2" t="s">
        <v>1043</v>
      </c>
    </row>
    <row r="120" spans="1:3">
      <c r="A120" s="2" t="s">
        <v>275</v>
      </c>
      <c r="B120" s="2" t="s">
        <v>1110</v>
      </c>
      <c r="C120" s="2" t="s">
        <v>1043</v>
      </c>
    </row>
    <row r="121" spans="1:3">
      <c r="A121" s="2" t="s">
        <v>276</v>
      </c>
      <c r="B121" s="2" t="s">
        <v>1111</v>
      </c>
      <c r="C121" s="2" t="s">
        <v>1043</v>
      </c>
    </row>
    <row r="122" spans="1:3">
      <c r="A122" s="2" t="s">
        <v>277</v>
      </c>
      <c r="B122" s="2" t="s">
        <v>1112</v>
      </c>
      <c r="C122" s="2" t="s">
        <v>1050</v>
      </c>
    </row>
    <row r="123" spans="1:3">
      <c r="A123" s="2" t="s">
        <v>278</v>
      </c>
      <c r="B123" s="2" t="s">
        <v>1113</v>
      </c>
      <c r="C123" s="2" t="s">
        <v>1043</v>
      </c>
    </row>
    <row r="124" spans="1:3">
      <c r="A124" s="2" t="s">
        <v>279</v>
      </c>
      <c r="B124" s="2" t="s">
        <v>1114</v>
      </c>
      <c r="C124" s="2" t="s">
        <v>1050</v>
      </c>
    </row>
    <row r="125" spans="1:3">
      <c r="A125" s="2" t="s">
        <v>280</v>
      </c>
      <c r="B125" s="2" t="s">
        <v>1115</v>
      </c>
      <c r="C125" s="2" t="s">
        <v>1043</v>
      </c>
    </row>
    <row r="126" spans="1:3">
      <c r="A126" s="2" t="s">
        <v>281</v>
      </c>
      <c r="B126" s="2" t="s">
        <v>1116</v>
      </c>
      <c r="C126" s="2" t="s">
        <v>1050</v>
      </c>
    </row>
    <row r="127" spans="1:3">
      <c r="A127" s="2" t="s">
        <v>282</v>
      </c>
      <c r="B127" s="2" t="s">
        <v>1117</v>
      </c>
      <c r="C127" s="2" t="s">
        <v>1043</v>
      </c>
    </row>
    <row r="128" spans="1:3">
      <c r="A128" s="2" t="s">
        <v>283</v>
      </c>
      <c r="B128" s="2" t="s">
        <v>1118</v>
      </c>
      <c r="C128" s="2" t="s">
        <v>1043</v>
      </c>
    </row>
    <row r="129" spans="1:3">
      <c r="A129" s="2" t="s">
        <v>284</v>
      </c>
      <c r="B129" s="2" t="s">
        <v>1119</v>
      </c>
      <c r="C129" s="2" t="s">
        <v>1043</v>
      </c>
    </row>
    <row r="130" spans="1:3">
      <c r="A130" s="2" t="s">
        <v>285</v>
      </c>
      <c r="B130" s="2" t="s">
        <v>1120</v>
      </c>
      <c r="C130" s="2" t="s">
        <v>1043</v>
      </c>
    </row>
    <row r="131" spans="1:3">
      <c r="A131" s="2" t="s">
        <v>286</v>
      </c>
      <c r="B131" s="2" t="s">
        <v>1045</v>
      </c>
      <c r="C131" s="2" t="s">
        <v>1043</v>
      </c>
    </row>
    <row r="132" spans="1:3">
      <c r="A132" s="2" t="s">
        <v>287</v>
      </c>
      <c r="B132" s="2" t="s">
        <v>1121</v>
      </c>
      <c r="C132" s="2" t="s">
        <v>1050</v>
      </c>
    </row>
    <row r="133" spans="1:3">
      <c r="A133" s="2" t="s">
        <v>288</v>
      </c>
      <c r="B133" s="2" t="s">
        <v>1122</v>
      </c>
      <c r="C133" s="2" t="s">
        <v>1043</v>
      </c>
    </row>
    <row r="134" spans="1:3">
      <c r="A134" s="2" t="s">
        <v>289</v>
      </c>
      <c r="B134" s="2" t="s">
        <v>1123</v>
      </c>
      <c r="C134" s="2" t="s">
        <v>1050</v>
      </c>
    </row>
    <row r="135" spans="1:3">
      <c r="A135" s="2" t="s">
        <v>290</v>
      </c>
      <c r="B135" s="2" t="s">
        <v>1124</v>
      </c>
      <c r="C135" s="2" t="s">
        <v>1050</v>
      </c>
    </row>
    <row r="136" spans="1:3">
      <c r="A136" s="2" t="s">
        <v>291</v>
      </c>
      <c r="B136" s="2" t="s">
        <v>1125</v>
      </c>
      <c r="C136" s="2" t="s">
        <v>1050</v>
      </c>
    </row>
    <row r="137" spans="1:3">
      <c r="A137" s="2" t="s">
        <v>292</v>
      </c>
      <c r="B137" s="2" t="s">
        <v>1126</v>
      </c>
      <c r="C137" s="2" t="s">
        <v>1050</v>
      </c>
    </row>
    <row r="138" spans="1:3">
      <c r="A138" s="2" t="s">
        <v>293</v>
      </c>
      <c r="B138" s="2" t="s">
        <v>1127</v>
      </c>
      <c r="C138" s="2" t="s">
        <v>1050</v>
      </c>
    </row>
    <row r="139" spans="1:3">
      <c r="A139" s="2" t="s">
        <v>294</v>
      </c>
      <c r="B139" s="2" t="s">
        <v>1128</v>
      </c>
      <c r="C139" s="2" t="s">
        <v>1043</v>
      </c>
    </row>
    <row r="140" spans="1:3">
      <c r="A140" s="2" t="s">
        <v>296</v>
      </c>
      <c r="B140" s="2" t="s">
        <v>1129</v>
      </c>
      <c r="C140" s="2" t="s">
        <v>1043</v>
      </c>
    </row>
    <row r="141" spans="1:3">
      <c r="A141" s="2" t="s">
        <v>297</v>
      </c>
      <c r="B141" s="2" t="s">
        <v>1130</v>
      </c>
      <c r="C141" s="2" t="s">
        <v>1050</v>
      </c>
    </row>
    <row r="142" spans="1:3">
      <c r="A142" s="2" t="s">
        <v>298</v>
      </c>
      <c r="B142" s="2" t="s">
        <v>1131</v>
      </c>
      <c r="C142" s="2" t="s">
        <v>1050</v>
      </c>
    </row>
    <row r="143" spans="1:3">
      <c r="A143" s="2" t="s">
        <v>299</v>
      </c>
      <c r="B143" s="2" t="s">
        <v>300</v>
      </c>
      <c r="C143" s="2" t="s">
        <v>1040</v>
      </c>
    </row>
    <row r="144" spans="1:3">
      <c r="A144" s="2" t="s">
        <v>301</v>
      </c>
      <c r="B144" s="2" t="s">
        <v>302</v>
      </c>
      <c r="C144" s="2" t="s">
        <v>1050</v>
      </c>
    </row>
    <row r="145" spans="1:3">
      <c r="A145" s="2" t="s">
        <v>303</v>
      </c>
      <c r="B145" s="2" t="s">
        <v>1132</v>
      </c>
      <c r="C145" s="2" t="s">
        <v>1050</v>
      </c>
    </row>
    <row r="146" spans="1:3">
      <c r="A146" s="2" t="s">
        <v>304</v>
      </c>
      <c r="B146" s="2" t="s">
        <v>305</v>
      </c>
      <c r="C146" s="2" t="s">
        <v>1050</v>
      </c>
    </row>
    <row r="147" spans="1:3">
      <c r="A147" s="2" t="s">
        <v>306</v>
      </c>
      <c r="B147" s="2" t="s">
        <v>1133</v>
      </c>
      <c r="C147" s="2" t="s">
        <v>1043</v>
      </c>
    </row>
    <row r="148" spans="1:3">
      <c r="A148" s="2" t="s">
        <v>307</v>
      </c>
      <c r="B148" s="2" t="s">
        <v>1045</v>
      </c>
      <c r="C148" s="2" t="s">
        <v>1043</v>
      </c>
    </row>
    <row r="149" spans="1:3">
      <c r="A149" s="2" t="s">
        <v>308</v>
      </c>
      <c r="B149" s="2" t="s">
        <v>1126</v>
      </c>
      <c r="C149" s="2" t="s">
        <v>1050</v>
      </c>
    </row>
    <row r="150" spans="1:3">
      <c r="A150" s="2" t="s">
        <v>309</v>
      </c>
      <c r="B150" s="2" t="s">
        <v>1127</v>
      </c>
      <c r="C150" s="2" t="s">
        <v>1050</v>
      </c>
    </row>
    <row r="151" spans="1:3">
      <c r="A151" s="2" t="s">
        <v>310</v>
      </c>
      <c r="B151" s="2" t="s">
        <v>302</v>
      </c>
      <c r="C151" s="2" t="s">
        <v>1040</v>
      </c>
    </row>
    <row r="152" spans="1:3">
      <c r="A152" s="2" t="s">
        <v>311</v>
      </c>
      <c r="B152" s="2" t="s">
        <v>312</v>
      </c>
      <c r="C152" s="2" t="s">
        <v>1040</v>
      </c>
    </row>
    <row r="153" spans="1:3">
      <c r="A153" s="2" t="s">
        <v>313</v>
      </c>
      <c r="B153" s="2" t="s">
        <v>1045</v>
      </c>
      <c r="C153" s="2" t="s">
        <v>1043</v>
      </c>
    </row>
    <row r="154" spans="1:3">
      <c r="A154" s="2" t="s">
        <v>314</v>
      </c>
      <c r="B154" s="2" t="s">
        <v>1134</v>
      </c>
      <c r="C154" s="2" t="s">
        <v>1040</v>
      </c>
    </row>
    <row r="155" spans="1:3">
      <c r="A155" s="2" t="s">
        <v>315</v>
      </c>
      <c r="B155" s="2" t="s">
        <v>1135</v>
      </c>
      <c r="C155" s="2" t="s">
        <v>1043</v>
      </c>
    </row>
    <row r="156" spans="1:3">
      <c r="A156" s="2" t="s">
        <v>316</v>
      </c>
      <c r="B156" s="2" t="s">
        <v>1045</v>
      </c>
      <c r="C156" s="2" t="s">
        <v>1043</v>
      </c>
    </row>
    <row r="157" spans="1:3">
      <c r="A157" s="2" t="s">
        <v>317</v>
      </c>
      <c r="B157" s="2" t="s">
        <v>318</v>
      </c>
      <c r="C157" s="2" t="s">
        <v>1040</v>
      </c>
    </row>
    <row r="158" spans="1:3">
      <c r="A158" s="2" t="s">
        <v>319</v>
      </c>
      <c r="B158" s="2" t="s">
        <v>320</v>
      </c>
      <c r="C158" s="2" t="s">
        <v>1040</v>
      </c>
    </row>
    <row r="159" spans="1:3">
      <c r="A159" s="2" t="s">
        <v>321</v>
      </c>
      <c r="B159" s="2" t="s">
        <v>322</v>
      </c>
      <c r="C159" s="2" t="s">
        <v>1040</v>
      </c>
    </row>
    <row r="160" spans="1:3">
      <c r="A160" s="2" t="s">
        <v>323</v>
      </c>
      <c r="B160" s="2" t="s">
        <v>1136</v>
      </c>
      <c r="C160" s="2" t="s">
        <v>1040</v>
      </c>
    </row>
    <row r="161" spans="1:3">
      <c r="A161" s="2" t="s">
        <v>324</v>
      </c>
      <c r="B161" s="2" t="s">
        <v>1137</v>
      </c>
      <c r="C161" s="2" t="s">
        <v>1040</v>
      </c>
    </row>
    <row r="162" spans="1:3">
      <c r="A162" s="2" t="s">
        <v>325</v>
      </c>
      <c r="B162" s="2" t="s">
        <v>326</v>
      </c>
      <c r="C162" s="2" t="s">
        <v>1040</v>
      </c>
    </row>
    <row r="163" spans="1:3">
      <c r="A163" s="2" t="s">
        <v>327</v>
      </c>
      <c r="B163" s="2" t="s">
        <v>1041</v>
      </c>
      <c r="C163" s="2" t="s">
        <v>1040</v>
      </c>
    </row>
    <row r="164" spans="1:3">
      <c r="A164" s="2" t="s">
        <v>328</v>
      </c>
      <c r="B164" s="2" t="s">
        <v>1138</v>
      </c>
      <c r="C164" s="2" t="s">
        <v>1050</v>
      </c>
    </row>
    <row r="165" spans="1:3">
      <c r="A165" s="2" t="s">
        <v>329</v>
      </c>
      <c r="B165" s="2" t="s">
        <v>1139</v>
      </c>
      <c r="C165" s="2" t="s">
        <v>1050</v>
      </c>
    </row>
    <row r="166" spans="1:3">
      <c r="A166" s="2" t="s">
        <v>330</v>
      </c>
      <c r="B166" s="2" t="s">
        <v>1140</v>
      </c>
      <c r="C166" s="2" t="s">
        <v>1050</v>
      </c>
    </row>
    <row r="167" spans="1:3">
      <c r="A167" s="2" t="s">
        <v>331</v>
      </c>
      <c r="B167" s="2" t="s">
        <v>1141</v>
      </c>
      <c r="C167" s="2" t="s">
        <v>1050</v>
      </c>
    </row>
    <row r="168" spans="1:3">
      <c r="A168" s="2" t="s">
        <v>332</v>
      </c>
      <c r="B168" s="2" t="s">
        <v>1045</v>
      </c>
      <c r="C168" s="2" t="s">
        <v>1043</v>
      </c>
    </row>
    <row r="169" spans="1:3">
      <c r="A169" s="2" t="s">
        <v>333</v>
      </c>
      <c r="B169" s="2" t="s">
        <v>334</v>
      </c>
      <c r="C169" s="2" t="s">
        <v>1040</v>
      </c>
    </row>
    <row r="170" spans="1:3">
      <c r="A170" s="2" t="s">
        <v>335</v>
      </c>
      <c r="B170" s="2" t="s">
        <v>1142</v>
      </c>
      <c r="C170" s="2" t="s">
        <v>1050</v>
      </c>
    </row>
    <row r="171" spans="1:3">
      <c r="A171" s="2" t="s">
        <v>336</v>
      </c>
      <c r="B171" s="2" t="s">
        <v>1143</v>
      </c>
      <c r="C171" s="2" t="s">
        <v>1043</v>
      </c>
    </row>
    <row r="172" spans="1:3">
      <c r="A172" s="2" t="s">
        <v>337</v>
      </c>
      <c r="B172" s="2" t="s">
        <v>1144</v>
      </c>
      <c r="C172" s="2" t="s">
        <v>1050</v>
      </c>
    </row>
    <row r="173" spans="1:3">
      <c r="A173" s="2" t="s">
        <v>338</v>
      </c>
      <c r="B173" s="2" t="s">
        <v>1145</v>
      </c>
      <c r="C173" s="2" t="s">
        <v>1043</v>
      </c>
    </row>
    <row r="174" spans="1:3">
      <c r="A174" s="2" t="s">
        <v>339</v>
      </c>
      <c r="B174" s="2" t="s">
        <v>1045</v>
      </c>
      <c r="C174" s="2" t="s">
        <v>1043</v>
      </c>
    </row>
    <row r="175" spans="1:3">
      <c r="A175" s="2" t="s">
        <v>340</v>
      </c>
      <c r="B175" s="2" t="s">
        <v>1146</v>
      </c>
      <c r="C175" s="2" t="s">
        <v>1040</v>
      </c>
    </row>
    <row r="176" spans="1:3">
      <c r="A176" s="2" t="s">
        <v>341</v>
      </c>
      <c r="B176" s="2" t="s">
        <v>1147</v>
      </c>
      <c r="C176" s="2" t="s">
        <v>1050</v>
      </c>
    </row>
    <row r="177" spans="1:3">
      <c r="A177" s="2" t="s">
        <v>342</v>
      </c>
      <c r="B177" s="2" t="s">
        <v>1148</v>
      </c>
      <c r="C177" s="2" t="s">
        <v>1050</v>
      </c>
    </row>
    <row r="178" spans="1:3">
      <c r="A178" s="2" t="s">
        <v>343</v>
      </c>
      <c r="B178" s="2" t="s">
        <v>1045</v>
      </c>
      <c r="C178" s="2" t="s">
        <v>1043</v>
      </c>
    </row>
    <row r="179" spans="1:3">
      <c r="A179" s="2" t="s">
        <v>344</v>
      </c>
      <c r="B179" s="2" t="s">
        <v>1128</v>
      </c>
      <c r="C179" s="2" t="s">
        <v>1050</v>
      </c>
    </row>
    <row r="180" spans="1:3">
      <c r="A180" s="2" t="s">
        <v>345</v>
      </c>
      <c r="B180" s="2" t="s">
        <v>1149</v>
      </c>
      <c r="C180" s="2" t="s">
        <v>1043</v>
      </c>
    </row>
    <row r="181" spans="1:3">
      <c r="A181" s="2" t="s">
        <v>346</v>
      </c>
      <c r="B181" s="2" t="s">
        <v>1150</v>
      </c>
      <c r="C181" s="2" t="s">
        <v>1050</v>
      </c>
    </row>
    <row r="182" spans="1:3">
      <c r="A182" s="2" t="s">
        <v>347</v>
      </c>
      <c r="B182" s="2" t="s">
        <v>1151</v>
      </c>
      <c r="C182" s="2" t="s">
        <v>1043</v>
      </c>
    </row>
    <row r="183" spans="1:3">
      <c r="A183" s="2" t="s">
        <v>348</v>
      </c>
      <c r="B183" s="2" t="s">
        <v>1045</v>
      </c>
      <c r="C183" s="2" t="s">
        <v>1043</v>
      </c>
    </row>
    <row r="184" spans="1:3">
      <c r="A184" s="2" t="s">
        <v>349</v>
      </c>
      <c r="B184" s="2" t="s">
        <v>350</v>
      </c>
      <c r="C184" s="2" t="s">
        <v>1040</v>
      </c>
    </row>
    <row r="185" spans="1:3">
      <c r="A185" s="2" t="s">
        <v>351</v>
      </c>
      <c r="B185" s="2" t="s">
        <v>1152</v>
      </c>
      <c r="C185" s="2" t="s">
        <v>1050</v>
      </c>
    </row>
    <row r="186" spans="1:3">
      <c r="A186" s="2" t="s">
        <v>352</v>
      </c>
      <c r="B186" s="2" t="s">
        <v>353</v>
      </c>
      <c r="C186" s="2" t="s">
        <v>1040</v>
      </c>
    </row>
    <row r="187" spans="1:3">
      <c r="A187" s="2" t="s">
        <v>354</v>
      </c>
      <c r="B187" s="2" t="s">
        <v>355</v>
      </c>
      <c r="C187" s="2" t="s">
        <v>1040</v>
      </c>
    </row>
    <row r="188" spans="1:3">
      <c r="A188" s="2" t="s">
        <v>356</v>
      </c>
      <c r="B188" s="2" t="s">
        <v>1045</v>
      </c>
      <c r="C188" s="2" t="s">
        <v>1043</v>
      </c>
    </row>
    <row r="189" spans="1:3">
      <c r="A189" s="2" t="s">
        <v>357</v>
      </c>
      <c r="B189" s="2" t="s">
        <v>1153</v>
      </c>
      <c r="C189" s="2" t="s">
        <v>1050</v>
      </c>
    </row>
    <row r="190" spans="1:3">
      <c r="A190" s="2" t="s">
        <v>358</v>
      </c>
      <c r="B190" s="2" t="s">
        <v>1045</v>
      </c>
      <c r="C190" s="2" t="s">
        <v>1043</v>
      </c>
    </row>
    <row r="191" spans="1:3">
      <c r="A191" s="2" t="s">
        <v>359</v>
      </c>
      <c r="B191" s="2" t="s">
        <v>1154</v>
      </c>
      <c r="C191" s="2" t="s">
        <v>1043</v>
      </c>
    </row>
    <row r="192" spans="1:3">
      <c r="A192" s="2" t="s">
        <v>360</v>
      </c>
      <c r="B192" s="2" t="s">
        <v>1155</v>
      </c>
      <c r="C192" s="2" t="s">
        <v>1043</v>
      </c>
    </row>
    <row r="193" spans="1:3">
      <c r="A193" s="2" t="s">
        <v>361</v>
      </c>
      <c r="B193" s="2" t="s">
        <v>1156</v>
      </c>
      <c r="C193" s="2" t="s">
        <v>1043</v>
      </c>
    </row>
    <row r="194" spans="1:3">
      <c r="A194" s="2" t="s">
        <v>362</v>
      </c>
      <c r="B194" s="2" t="s">
        <v>1157</v>
      </c>
      <c r="C194" s="2" t="s">
        <v>1043</v>
      </c>
    </row>
    <row r="195" spans="1:3">
      <c r="A195" s="2" t="s">
        <v>363</v>
      </c>
      <c r="B195" s="2" t="s">
        <v>1158</v>
      </c>
      <c r="C195" s="2" t="s">
        <v>1043</v>
      </c>
    </row>
    <row r="196" spans="1:3">
      <c r="A196" s="2" t="s">
        <v>364</v>
      </c>
      <c r="B196" s="2" t="s">
        <v>1045</v>
      </c>
      <c r="C196" s="2" t="s">
        <v>1043</v>
      </c>
    </row>
    <row r="197" spans="1:3">
      <c r="A197" s="2" t="s">
        <v>365</v>
      </c>
      <c r="B197" s="2" t="s">
        <v>1159</v>
      </c>
      <c r="C197" s="2" t="s">
        <v>1050</v>
      </c>
    </row>
    <row r="198" spans="1:3">
      <c r="A198" s="2" t="s">
        <v>366</v>
      </c>
      <c r="B198" s="2" t="s">
        <v>1045</v>
      </c>
      <c r="C198" s="2" t="s">
        <v>1043</v>
      </c>
    </row>
    <row r="199" spans="1:3">
      <c r="A199" s="2" t="s">
        <v>367</v>
      </c>
      <c r="B199" s="2" t="s">
        <v>1160</v>
      </c>
      <c r="C199" s="2" t="s">
        <v>1043</v>
      </c>
    </row>
    <row r="200" spans="1:3">
      <c r="A200" s="2" t="s">
        <v>368</v>
      </c>
      <c r="B200" s="2" t="s">
        <v>1161</v>
      </c>
      <c r="C200" s="2" t="s">
        <v>1043</v>
      </c>
    </row>
    <row r="201" spans="1:3">
      <c r="A201" s="2" t="s">
        <v>369</v>
      </c>
      <c r="B201" s="2" t="s">
        <v>1162</v>
      </c>
      <c r="C201" s="2" t="s">
        <v>1043</v>
      </c>
    </row>
    <row r="202" spans="1:3">
      <c r="A202" s="2" t="s">
        <v>370</v>
      </c>
      <c r="B202" s="2" t="s">
        <v>1163</v>
      </c>
      <c r="C202" s="2" t="s">
        <v>1043</v>
      </c>
    </row>
    <row r="203" spans="1:3">
      <c r="A203" s="2" t="s">
        <v>371</v>
      </c>
      <c r="B203" s="2" t="s">
        <v>1164</v>
      </c>
      <c r="C203" s="2" t="s">
        <v>1043</v>
      </c>
    </row>
    <row r="204" spans="1:3">
      <c r="A204" s="2" t="s">
        <v>1165</v>
      </c>
      <c r="B204" s="2" t="s">
        <v>1045</v>
      </c>
      <c r="C204" s="2" t="s">
        <v>1043</v>
      </c>
    </row>
    <row r="205" spans="1:3">
      <c r="A205" s="2" t="s">
        <v>372</v>
      </c>
      <c r="B205" s="2" t="s">
        <v>1166</v>
      </c>
      <c r="C205" s="2" t="s">
        <v>1050</v>
      </c>
    </row>
    <row r="206" spans="1:3">
      <c r="A206" s="2" t="s">
        <v>373</v>
      </c>
      <c r="B206" s="2" t="s">
        <v>1167</v>
      </c>
      <c r="C206" s="2" t="s">
        <v>1050</v>
      </c>
    </row>
    <row r="207" spans="1:3">
      <c r="A207" s="2" t="s">
        <v>374</v>
      </c>
      <c r="B207" s="2" t="s">
        <v>1168</v>
      </c>
      <c r="C207" s="2" t="s">
        <v>1043</v>
      </c>
    </row>
    <row r="208" spans="1:3">
      <c r="A208" s="2" t="s">
        <v>375</v>
      </c>
      <c r="B208" s="2" t="s">
        <v>376</v>
      </c>
      <c r="C208" s="2" t="s">
        <v>1040</v>
      </c>
    </row>
    <row r="209" spans="1:3">
      <c r="A209" s="2" t="s">
        <v>377</v>
      </c>
      <c r="B209" s="2" t="s">
        <v>1169</v>
      </c>
      <c r="C209" s="2" t="s">
        <v>1050</v>
      </c>
    </row>
    <row r="210" spans="1:3">
      <c r="A210" s="2" t="s">
        <v>378</v>
      </c>
      <c r="B210" s="2" t="s">
        <v>1045</v>
      </c>
      <c r="C210" s="2" t="s">
        <v>1043</v>
      </c>
    </row>
    <row r="211" spans="1:3">
      <c r="A211" s="2" t="s">
        <v>379</v>
      </c>
      <c r="B211" s="2" t="s">
        <v>1170</v>
      </c>
      <c r="C211" s="2" t="s">
        <v>1050</v>
      </c>
    </row>
    <row r="212" spans="1:3">
      <c r="A212" s="2" t="s">
        <v>380</v>
      </c>
      <c r="B212" s="2" t="s">
        <v>1171</v>
      </c>
      <c r="C212" s="2" t="s">
        <v>1050</v>
      </c>
    </row>
    <row r="213" spans="1:3">
      <c r="A213" s="2" t="s">
        <v>381</v>
      </c>
      <c r="B213" s="2" t="s">
        <v>1172</v>
      </c>
      <c r="C213" s="2" t="s">
        <v>1050</v>
      </c>
    </row>
    <row r="214" spans="1:3">
      <c r="A214" s="2" t="s">
        <v>382</v>
      </c>
      <c r="B214" s="2" t="s">
        <v>1173</v>
      </c>
      <c r="C214" s="2" t="s">
        <v>1050</v>
      </c>
    </row>
    <row r="215" spans="1:3">
      <c r="A215" s="2" t="s">
        <v>383</v>
      </c>
      <c r="B215" s="2" t="s">
        <v>1174</v>
      </c>
      <c r="C215" s="2" t="s">
        <v>1050</v>
      </c>
    </row>
    <row r="216" spans="1:3">
      <c r="A216" s="2" t="s">
        <v>384</v>
      </c>
      <c r="B216" s="2" t="s">
        <v>1175</v>
      </c>
      <c r="C216" s="2" t="s">
        <v>1050</v>
      </c>
    </row>
    <row r="217" spans="1:3">
      <c r="A217" s="2" t="s">
        <v>385</v>
      </c>
      <c r="B217" s="2" t="s">
        <v>1176</v>
      </c>
      <c r="C217" s="2" t="s">
        <v>1050</v>
      </c>
    </row>
    <row r="218" spans="1:3">
      <c r="A218" s="2" t="s">
        <v>386</v>
      </c>
      <c r="B218" s="2" t="s">
        <v>1128</v>
      </c>
      <c r="C218" s="2" t="s">
        <v>1050</v>
      </c>
    </row>
    <row r="219" spans="1:3">
      <c r="A219" s="2" t="s">
        <v>387</v>
      </c>
      <c r="B219" s="2" t="s">
        <v>1177</v>
      </c>
      <c r="C219" s="2" t="s">
        <v>1043</v>
      </c>
    </row>
    <row r="220" spans="1:3">
      <c r="A220" s="2" t="s">
        <v>388</v>
      </c>
      <c r="B220" s="2" t="s">
        <v>1178</v>
      </c>
      <c r="C220" s="2" t="s">
        <v>1043</v>
      </c>
    </row>
    <row r="221" spans="1:3">
      <c r="A221" s="2" t="s">
        <v>389</v>
      </c>
      <c r="B221" s="2" t="s">
        <v>1045</v>
      </c>
      <c r="C221" s="2" t="s">
        <v>1043</v>
      </c>
    </row>
    <row r="222" spans="1:3">
      <c r="A222" s="2" t="s">
        <v>390</v>
      </c>
      <c r="B222" s="2" t="s">
        <v>1170</v>
      </c>
      <c r="C222" s="2" t="s">
        <v>1050</v>
      </c>
    </row>
    <row r="223" spans="1:3">
      <c r="A223" s="2" t="s">
        <v>391</v>
      </c>
      <c r="B223" s="2" t="s">
        <v>1171</v>
      </c>
      <c r="C223" s="2" t="s">
        <v>1050</v>
      </c>
    </row>
    <row r="224" spans="1:3">
      <c r="A224" s="2" t="s">
        <v>392</v>
      </c>
      <c r="B224" s="2" t="s">
        <v>1172</v>
      </c>
      <c r="C224" s="2" t="s">
        <v>1050</v>
      </c>
    </row>
    <row r="225" spans="1:3">
      <c r="A225" s="2" t="s">
        <v>393</v>
      </c>
      <c r="B225" s="2" t="s">
        <v>1173</v>
      </c>
      <c r="C225" s="2" t="s">
        <v>1050</v>
      </c>
    </row>
    <row r="226" spans="1:3">
      <c r="A226" s="2" t="s">
        <v>394</v>
      </c>
      <c r="B226" s="2" t="s">
        <v>1174</v>
      </c>
      <c r="C226" s="2" t="s">
        <v>1050</v>
      </c>
    </row>
    <row r="227" spans="1:3">
      <c r="A227" s="2" t="s">
        <v>395</v>
      </c>
      <c r="B227" s="2" t="s">
        <v>1175</v>
      </c>
      <c r="C227" s="2" t="s">
        <v>1050</v>
      </c>
    </row>
    <row r="228" spans="1:3">
      <c r="A228" s="2" t="s">
        <v>396</v>
      </c>
      <c r="B228" s="2" t="s">
        <v>1176</v>
      </c>
      <c r="C228" s="2" t="s">
        <v>1050</v>
      </c>
    </row>
    <row r="229" spans="1:3">
      <c r="A229" s="2" t="s">
        <v>397</v>
      </c>
      <c r="B229" s="2" t="s">
        <v>1128</v>
      </c>
      <c r="C229" s="2" t="s">
        <v>1050</v>
      </c>
    </row>
    <row r="230" spans="1:3">
      <c r="A230" s="2" t="s">
        <v>398</v>
      </c>
      <c r="B230" s="2" t="s">
        <v>1179</v>
      </c>
      <c r="C230" s="2" t="s">
        <v>1043</v>
      </c>
    </row>
    <row r="231" spans="1:3">
      <c r="A231" s="2" t="s">
        <v>399</v>
      </c>
      <c r="B231" s="2" t="s">
        <v>1180</v>
      </c>
      <c r="C231" s="2" t="s">
        <v>1043</v>
      </c>
    </row>
    <row r="232" spans="1:3">
      <c r="A232" s="2" t="s">
        <v>400</v>
      </c>
      <c r="B232" s="2" t="s">
        <v>1181</v>
      </c>
      <c r="C232" s="2" t="s">
        <v>1043</v>
      </c>
    </row>
    <row r="233" spans="1:3">
      <c r="A233" s="2" t="s">
        <v>401</v>
      </c>
      <c r="B233" s="2" t="s">
        <v>1182</v>
      </c>
      <c r="C233" s="2" t="s">
        <v>1043</v>
      </c>
    </row>
    <row r="234" spans="1:3">
      <c r="A234" s="2" t="s">
        <v>402</v>
      </c>
      <c r="B234" s="2" t="s">
        <v>1153</v>
      </c>
      <c r="C234" s="2" t="s">
        <v>1050</v>
      </c>
    </row>
    <row r="235" spans="1:3">
      <c r="A235" s="2" t="s">
        <v>403</v>
      </c>
      <c r="B235" s="2" t="s">
        <v>1183</v>
      </c>
      <c r="C235" s="2" t="s">
        <v>1043</v>
      </c>
    </row>
    <row r="236" spans="1:3">
      <c r="A236" s="2" t="s">
        <v>404</v>
      </c>
      <c r="B236" s="2" t="s">
        <v>1184</v>
      </c>
      <c r="C236" s="2" t="s">
        <v>1185</v>
      </c>
    </row>
    <row r="237" spans="1:3">
      <c r="A237" s="2" t="s">
        <v>405</v>
      </c>
      <c r="B237" s="2" t="s">
        <v>1045</v>
      </c>
      <c r="C237" s="2" t="s">
        <v>1043</v>
      </c>
    </row>
    <row r="238" spans="1:3">
      <c r="A238" s="2" t="s">
        <v>406</v>
      </c>
      <c r="B238" s="2" t="s">
        <v>1170</v>
      </c>
      <c r="C238" s="2" t="s">
        <v>1050</v>
      </c>
    </row>
    <row r="239" spans="1:3">
      <c r="A239" s="2" t="s">
        <v>407</v>
      </c>
      <c r="B239" s="2" t="s">
        <v>1171</v>
      </c>
      <c r="C239" s="2" t="s">
        <v>1050</v>
      </c>
    </row>
    <row r="240" spans="1:3">
      <c r="A240" s="2" t="s">
        <v>408</v>
      </c>
      <c r="B240" s="2" t="s">
        <v>1172</v>
      </c>
      <c r="C240" s="2" t="s">
        <v>1050</v>
      </c>
    </row>
    <row r="241" spans="1:3">
      <c r="A241" s="2" t="s">
        <v>409</v>
      </c>
      <c r="B241" s="2" t="s">
        <v>1173</v>
      </c>
      <c r="C241" s="2" t="s">
        <v>1050</v>
      </c>
    </row>
    <row r="242" spans="1:3">
      <c r="A242" s="2" t="s">
        <v>410</v>
      </c>
      <c r="B242" s="2" t="s">
        <v>1174</v>
      </c>
      <c r="C242" s="2" t="s">
        <v>1050</v>
      </c>
    </row>
    <row r="243" spans="1:3">
      <c r="A243" s="2" t="s">
        <v>411</v>
      </c>
      <c r="B243" s="2" t="s">
        <v>1175</v>
      </c>
      <c r="C243" s="2" t="s">
        <v>1050</v>
      </c>
    </row>
    <row r="244" spans="1:3">
      <c r="A244" s="2" t="s">
        <v>412</v>
      </c>
      <c r="B244" s="2" t="s">
        <v>1176</v>
      </c>
      <c r="C244" s="2" t="s">
        <v>1050</v>
      </c>
    </row>
    <row r="245" spans="1:3">
      <c r="A245" s="2" t="s">
        <v>413</v>
      </c>
      <c r="B245" s="2" t="s">
        <v>1128</v>
      </c>
      <c r="C245" s="2" t="s">
        <v>1050</v>
      </c>
    </row>
    <row r="246" spans="1:3">
      <c r="A246" s="2" t="s">
        <v>414</v>
      </c>
      <c r="B246" s="2" t="s">
        <v>1186</v>
      </c>
      <c r="C246" s="2" t="s">
        <v>1043</v>
      </c>
    </row>
    <row r="247" spans="1:3">
      <c r="A247" s="2" t="s">
        <v>415</v>
      </c>
      <c r="B247" s="2" t="s">
        <v>1045</v>
      </c>
      <c r="C247" s="2" t="s">
        <v>1043</v>
      </c>
    </row>
    <row r="248" spans="1:3">
      <c r="A248" s="2" t="s">
        <v>416</v>
      </c>
      <c r="B248" s="2" t="s">
        <v>1170</v>
      </c>
      <c r="C248" s="2" t="s">
        <v>1050</v>
      </c>
    </row>
    <row r="249" spans="1:3">
      <c r="A249" s="2" t="s">
        <v>417</v>
      </c>
      <c r="B249" s="2" t="s">
        <v>1171</v>
      </c>
      <c r="C249" s="2" t="s">
        <v>1050</v>
      </c>
    </row>
    <row r="250" spans="1:3">
      <c r="A250" s="2" t="s">
        <v>418</v>
      </c>
      <c r="B250" s="2" t="s">
        <v>1172</v>
      </c>
      <c r="C250" s="2" t="s">
        <v>1050</v>
      </c>
    </row>
    <row r="251" spans="1:3">
      <c r="A251" s="2" t="s">
        <v>419</v>
      </c>
      <c r="B251" s="2" t="s">
        <v>1173</v>
      </c>
      <c r="C251" s="2" t="s">
        <v>1050</v>
      </c>
    </row>
    <row r="252" spans="1:3">
      <c r="A252" s="2" t="s">
        <v>420</v>
      </c>
      <c r="B252" s="2" t="s">
        <v>1174</v>
      </c>
      <c r="C252" s="2" t="s">
        <v>1050</v>
      </c>
    </row>
    <row r="253" spans="1:3">
      <c r="A253" s="2" t="s">
        <v>421</v>
      </c>
      <c r="B253" s="2" t="s">
        <v>1175</v>
      </c>
      <c r="C253" s="2" t="s">
        <v>1050</v>
      </c>
    </row>
    <row r="254" spans="1:3">
      <c r="A254" s="2" t="s">
        <v>422</v>
      </c>
      <c r="B254" s="2" t="s">
        <v>1176</v>
      </c>
      <c r="C254" s="2" t="s">
        <v>1050</v>
      </c>
    </row>
    <row r="255" spans="1:3">
      <c r="A255" s="2" t="s">
        <v>423</v>
      </c>
      <c r="B255" s="2" t="s">
        <v>1128</v>
      </c>
      <c r="C255" s="2" t="s">
        <v>1050</v>
      </c>
    </row>
    <row r="256" spans="1:3">
      <c r="A256" s="2" t="s">
        <v>424</v>
      </c>
      <c r="B256" s="2" t="s">
        <v>1187</v>
      </c>
      <c r="C256" s="2" t="s">
        <v>1043</v>
      </c>
    </row>
    <row r="257" spans="1:3">
      <c r="A257" s="2" t="s">
        <v>425</v>
      </c>
      <c r="B257" s="2" t="s">
        <v>1188</v>
      </c>
      <c r="C257" s="2" t="s">
        <v>1050</v>
      </c>
    </row>
    <row r="258" spans="1:3">
      <c r="A258" s="2" t="s">
        <v>426</v>
      </c>
      <c r="B258" s="2" t="s">
        <v>1189</v>
      </c>
      <c r="C258" s="2" t="s">
        <v>1050</v>
      </c>
    </row>
    <row r="259" spans="1:3">
      <c r="A259" s="2" t="s">
        <v>427</v>
      </c>
      <c r="B259" s="2" t="s">
        <v>1190</v>
      </c>
      <c r="C259" s="2" t="s">
        <v>1043</v>
      </c>
    </row>
    <row r="260" spans="1:3">
      <c r="A260" s="2" t="s">
        <v>428</v>
      </c>
      <c r="B260" s="2" t="s">
        <v>1045</v>
      </c>
      <c r="C260" s="2" t="s">
        <v>1043</v>
      </c>
    </row>
    <row r="261" spans="1:3">
      <c r="A261" s="2" t="s">
        <v>429</v>
      </c>
      <c r="B261" s="2" t="s">
        <v>1170</v>
      </c>
      <c r="C261" s="2" t="s">
        <v>1050</v>
      </c>
    </row>
    <row r="262" spans="1:3">
      <c r="A262" s="2" t="s">
        <v>430</v>
      </c>
      <c r="B262" s="2" t="s">
        <v>1171</v>
      </c>
      <c r="C262" s="2" t="s">
        <v>1050</v>
      </c>
    </row>
    <row r="263" spans="1:3">
      <c r="A263" s="2" t="s">
        <v>431</v>
      </c>
      <c r="B263" s="2" t="s">
        <v>1172</v>
      </c>
      <c r="C263" s="2" t="s">
        <v>1050</v>
      </c>
    </row>
    <row r="264" spans="1:3">
      <c r="A264" s="2" t="s">
        <v>432</v>
      </c>
      <c r="B264" s="2" t="s">
        <v>1173</v>
      </c>
      <c r="C264" s="2" t="s">
        <v>1050</v>
      </c>
    </row>
    <row r="265" spans="1:3">
      <c r="A265" s="2" t="s">
        <v>433</v>
      </c>
      <c r="B265" s="2" t="s">
        <v>1174</v>
      </c>
      <c r="C265" s="2" t="s">
        <v>1050</v>
      </c>
    </row>
    <row r="266" spans="1:3">
      <c r="A266" s="2" t="s">
        <v>434</v>
      </c>
      <c r="B266" s="2" t="s">
        <v>1175</v>
      </c>
      <c r="C266" s="2" t="s">
        <v>1050</v>
      </c>
    </row>
    <row r="267" spans="1:3">
      <c r="A267" s="2" t="s">
        <v>435</v>
      </c>
      <c r="B267" s="2" t="s">
        <v>1176</v>
      </c>
      <c r="C267" s="2" t="s">
        <v>1050</v>
      </c>
    </row>
    <row r="268" spans="1:3">
      <c r="A268" s="2" t="s">
        <v>436</v>
      </c>
      <c r="B268" s="2" t="s">
        <v>1128</v>
      </c>
      <c r="C268" s="2" t="s">
        <v>1050</v>
      </c>
    </row>
    <row r="269" spans="1:3">
      <c r="A269" s="2" t="s">
        <v>437</v>
      </c>
      <c r="B269" s="2" t="s">
        <v>1191</v>
      </c>
      <c r="C269" s="2" t="s">
        <v>1043</v>
      </c>
    </row>
    <row r="270" spans="1:3">
      <c r="A270" s="2" t="s">
        <v>438</v>
      </c>
      <c r="B270" s="2" t="s">
        <v>1188</v>
      </c>
      <c r="C270" s="2" t="s">
        <v>1050</v>
      </c>
    </row>
    <row r="271" spans="1:3">
      <c r="A271" s="2" t="s">
        <v>439</v>
      </c>
      <c r="B271" s="2" t="s">
        <v>1192</v>
      </c>
      <c r="C271" s="2" t="s">
        <v>1043</v>
      </c>
    </row>
    <row r="272" spans="1:3">
      <c r="A272" s="2" t="s">
        <v>440</v>
      </c>
      <c r="B272" s="2" t="s">
        <v>1193</v>
      </c>
      <c r="C272" s="2" t="s">
        <v>1050</v>
      </c>
    </row>
    <row r="273" spans="1:3">
      <c r="A273" s="2" t="s">
        <v>441</v>
      </c>
      <c r="B273" s="2" t="s">
        <v>1194</v>
      </c>
      <c r="C273" s="2" t="s">
        <v>1043</v>
      </c>
    </row>
    <row r="274" spans="1:3">
      <c r="A274" s="2" t="s">
        <v>442</v>
      </c>
      <c r="B274" s="2" t="s">
        <v>1045</v>
      </c>
      <c r="C274" s="2" t="s">
        <v>1043</v>
      </c>
    </row>
    <row r="275" spans="1:3">
      <c r="A275" s="2" t="s">
        <v>443</v>
      </c>
      <c r="B275" s="2" t="s">
        <v>1170</v>
      </c>
      <c r="C275" s="2" t="s">
        <v>1050</v>
      </c>
    </row>
    <row r="276" spans="1:3">
      <c r="A276" s="2" t="s">
        <v>444</v>
      </c>
      <c r="B276" s="2" t="s">
        <v>1171</v>
      </c>
      <c r="C276" s="2" t="s">
        <v>1050</v>
      </c>
    </row>
    <row r="277" spans="1:3">
      <c r="A277" s="2" t="s">
        <v>445</v>
      </c>
      <c r="B277" s="2" t="s">
        <v>1172</v>
      </c>
      <c r="C277" s="2" t="s">
        <v>1050</v>
      </c>
    </row>
    <row r="278" spans="1:3">
      <c r="A278" s="2" t="s">
        <v>446</v>
      </c>
      <c r="B278" s="2" t="s">
        <v>1173</v>
      </c>
      <c r="C278" s="2" t="s">
        <v>1050</v>
      </c>
    </row>
    <row r="279" spans="1:3">
      <c r="A279" s="2" t="s">
        <v>447</v>
      </c>
      <c r="B279" s="2" t="s">
        <v>1174</v>
      </c>
      <c r="C279" s="2" t="s">
        <v>1050</v>
      </c>
    </row>
    <row r="280" spans="1:3">
      <c r="A280" s="2" t="s">
        <v>448</v>
      </c>
      <c r="B280" s="2" t="s">
        <v>1175</v>
      </c>
      <c r="C280" s="2" t="s">
        <v>1050</v>
      </c>
    </row>
    <row r="281" spans="1:3">
      <c r="A281" s="2" t="s">
        <v>449</v>
      </c>
      <c r="B281" s="2" t="s">
        <v>1176</v>
      </c>
      <c r="C281" s="2" t="s">
        <v>1050</v>
      </c>
    </row>
    <row r="282" spans="1:3">
      <c r="A282" s="2" t="s">
        <v>450</v>
      </c>
      <c r="B282" s="2" t="s">
        <v>1128</v>
      </c>
      <c r="C282" s="2" t="s">
        <v>1050</v>
      </c>
    </row>
    <row r="283" spans="1:3">
      <c r="A283" s="2" t="s">
        <v>451</v>
      </c>
      <c r="B283" s="2" t="s">
        <v>1195</v>
      </c>
      <c r="C283" s="2" t="s">
        <v>1043</v>
      </c>
    </row>
    <row r="284" spans="1:3">
      <c r="A284" s="2" t="s">
        <v>452</v>
      </c>
      <c r="B284" s="2" t="s">
        <v>1196</v>
      </c>
      <c r="C284" s="2" t="s">
        <v>1043</v>
      </c>
    </row>
    <row r="285" spans="1:3">
      <c r="A285" s="2" t="s">
        <v>453</v>
      </c>
      <c r="B285" s="2" t="s">
        <v>1197</v>
      </c>
      <c r="C285" s="2" t="s">
        <v>1043</v>
      </c>
    </row>
    <row r="286" spans="1:3">
      <c r="A286" s="2" t="s">
        <v>454</v>
      </c>
      <c r="B286" s="2" t="s">
        <v>1045</v>
      </c>
      <c r="C286" s="2" t="s">
        <v>1043</v>
      </c>
    </row>
    <row r="287" spans="1:3">
      <c r="A287" s="2" t="s">
        <v>455</v>
      </c>
      <c r="B287" s="2" t="s">
        <v>1170</v>
      </c>
      <c r="C287" s="2" t="s">
        <v>1050</v>
      </c>
    </row>
    <row r="288" spans="1:3">
      <c r="A288" s="2" t="s">
        <v>456</v>
      </c>
      <c r="B288" s="2" t="s">
        <v>1171</v>
      </c>
      <c r="C288" s="2" t="s">
        <v>1050</v>
      </c>
    </row>
    <row r="289" spans="1:3">
      <c r="A289" s="2" t="s">
        <v>457</v>
      </c>
      <c r="B289" s="2" t="s">
        <v>1172</v>
      </c>
      <c r="C289" s="2" t="s">
        <v>1050</v>
      </c>
    </row>
    <row r="290" spans="1:3">
      <c r="A290" s="2" t="s">
        <v>458</v>
      </c>
      <c r="B290" s="2" t="s">
        <v>1173</v>
      </c>
      <c r="C290" s="2" t="s">
        <v>1050</v>
      </c>
    </row>
    <row r="291" spans="1:3">
      <c r="A291" s="2" t="s">
        <v>459</v>
      </c>
      <c r="B291" s="2" t="s">
        <v>1174</v>
      </c>
      <c r="C291" s="2" t="s">
        <v>1050</v>
      </c>
    </row>
    <row r="292" spans="1:3">
      <c r="A292" s="2" t="s">
        <v>460</v>
      </c>
      <c r="B292" s="2" t="s">
        <v>1175</v>
      </c>
      <c r="C292" s="2" t="s">
        <v>1050</v>
      </c>
    </row>
    <row r="293" spans="1:3">
      <c r="A293" s="2" t="s">
        <v>461</v>
      </c>
      <c r="B293" s="2" t="s">
        <v>1176</v>
      </c>
      <c r="C293" s="2" t="s">
        <v>1050</v>
      </c>
    </row>
    <row r="294" spans="1:3">
      <c r="A294" s="2" t="s">
        <v>462</v>
      </c>
      <c r="B294" s="2" t="s">
        <v>1128</v>
      </c>
      <c r="C294" s="2" t="s">
        <v>1050</v>
      </c>
    </row>
    <row r="295" spans="1:3">
      <c r="A295" s="2" t="s">
        <v>463</v>
      </c>
      <c r="B295" s="2" t="s">
        <v>1198</v>
      </c>
      <c r="C295" s="2" t="s">
        <v>1043</v>
      </c>
    </row>
    <row r="296" spans="1:3">
      <c r="A296" s="2" t="s">
        <v>464</v>
      </c>
      <c r="B296" s="2" t="s">
        <v>1045</v>
      </c>
      <c r="C296" s="2" t="s">
        <v>1043</v>
      </c>
    </row>
    <row r="297" spans="1:3">
      <c r="A297" s="2" t="s">
        <v>465</v>
      </c>
      <c r="B297" s="2" t="s">
        <v>1199</v>
      </c>
      <c r="C297" s="2" t="s">
        <v>1043</v>
      </c>
    </row>
    <row r="298" spans="1:3">
      <c r="A298" s="2" t="s">
        <v>466</v>
      </c>
      <c r="B298" s="2" t="s">
        <v>1200</v>
      </c>
      <c r="C298" s="2" t="s">
        <v>1043</v>
      </c>
    </row>
    <row r="299" spans="1:3">
      <c r="A299" s="2" t="s">
        <v>467</v>
      </c>
      <c r="B299" s="2" t="s">
        <v>1201</v>
      </c>
      <c r="C299" s="2" t="s">
        <v>1043</v>
      </c>
    </row>
    <row r="300" spans="1:3">
      <c r="A300" s="2" t="s">
        <v>468</v>
      </c>
      <c r="B300" s="2" t="s">
        <v>1202</v>
      </c>
      <c r="C300" s="2" t="s">
        <v>1043</v>
      </c>
    </row>
    <row r="301" spans="1:3">
      <c r="A301" s="2" t="s">
        <v>469</v>
      </c>
      <c r="B301" s="2" t="s">
        <v>1203</v>
      </c>
      <c r="C301" s="2" t="s">
        <v>1043</v>
      </c>
    </row>
    <row r="302" spans="1:3">
      <c r="A302" s="2" t="s">
        <v>470</v>
      </c>
      <c r="B302" s="2" t="s">
        <v>1204</v>
      </c>
      <c r="C302" s="2" t="s">
        <v>1043</v>
      </c>
    </row>
    <row r="303" spans="1:3">
      <c r="A303" s="2" t="s">
        <v>471</v>
      </c>
      <c r="B303" s="2" t="s">
        <v>1205</v>
      </c>
      <c r="C303" s="2" t="s">
        <v>1043</v>
      </c>
    </row>
    <row r="304" spans="1:3">
      <c r="A304" s="2" t="s">
        <v>472</v>
      </c>
      <c r="B304" s="2" t="s">
        <v>1206</v>
      </c>
      <c r="C304" s="2" t="s">
        <v>1043</v>
      </c>
    </row>
    <row r="305" spans="1:3">
      <c r="A305" s="2" t="s">
        <v>473</v>
      </c>
      <c r="B305" s="2" t="s">
        <v>1207</v>
      </c>
      <c r="C305" s="2" t="s">
        <v>1050</v>
      </c>
    </row>
    <row r="306" spans="1:3">
      <c r="A306" s="2" t="s">
        <v>474</v>
      </c>
      <c r="B306" s="2" t="s">
        <v>1208</v>
      </c>
      <c r="C306" s="2" t="s">
        <v>1043</v>
      </c>
    </row>
    <row r="307" spans="1:3">
      <c r="A307" s="2" t="s">
        <v>475</v>
      </c>
      <c r="B307" s="2" t="s">
        <v>1209</v>
      </c>
      <c r="C307" s="2" t="s">
        <v>1050</v>
      </c>
    </row>
    <row r="308" spans="1:3">
      <c r="A308" s="2" t="s">
        <v>476</v>
      </c>
      <c r="B308" s="2" t="s">
        <v>1045</v>
      </c>
      <c r="C308" s="2" t="s">
        <v>1043</v>
      </c>
    </row>
    <row r="309" spans="1:3">
      <c r="A309" s="2" t="s">
        <v>477</v>
      </c>
      <c r="B309" s="2" t="s">
        <v>1210</v>
      </c>
      <c r="C309" s="2" t="s">
        <v>1043</v>
      </c>
    </row>
    <row r="310" spans="1:3">
      <c r="A310" s="2" t="s">
        <v>478</v>
      </c>
      <c r="B310" s="2" t="s">
        <v>1211</v>
      </c>
      <c r="C310" s="2" t="s">
        <v>1043</v>
      </c>
    </row>
    <row r="311" spans="1:3">
      <c r="A311" s="2" t="s">
        <v>479</v>
      </c>
      <c r="B311" s="2" t="s">
        <v>1212</v>
      </c>
      <c r="C311" s="2" t="s">
        <v>1043</v>
      </c>
    </row>
    <row r="312" spans="1:3">
      <c r="A312" s="2" t="s">
        <v>480</v>
      </c>
      <c r="B312" s="2" t="s">
        <v>1045</v>
      </c>
      <c r="C312" s="2" t="s">
        <v>1043</v>
      </c>
    </row>
    <row r="313" spans="1:3">
      <c r="A313" s="2" t="s">
        <v>1213</v>
      </c>
      <c r="B313" s="2" t="s">
        <v>1214</v>
      </c>
      <c r="C313" s="2" t="s">
        <v>1043</v>
      </c>
    </row>
    <row r="314" spans="1:3">
      <c r="A314" s="2" t="s">
        <v>481</v>
      </c>
      <c r="B314" s="2" t="s">
        <v>1215</v>
      </c>
      <c r="C314" s="2" t="s">
        <v>1043</v>
      </c>
    </row>
    <row r="315" spans="1:3">
      <c r="A315" s="2" t="s">
        <v>482</v>
      </c>
      <c r="B315" s="2" t="s">
        <v>1216</v>
      </c>
      <c r="C315" s="2" t="s">
        <v>1050</v>
      </c>
    </row>
    <row r="316" spans="1:3">
      <c r="A316" s="2" t="s">
        <v>483</v>
      </c>
      <c r="B316" s="2" t="s">
        <v>1217</v>
      </c>
      <c r="C316" s="2" t="s">
        <v>1043</v>
      </c>
    </row>
    <row r="317" spans="1:3">
      <c r="A317" s="2" t="s">
        <v>484</v>
      </c>
      <c r="B317" s="2" t="s">
        <v>1218</v>
      </c>
      <c r="C317" s="2" t="s">
        <v>1043</v>
      </c>
    </row>
    <row r="318" spans="1:3">
      <c r="A318" s="2" t="s">
        <v>485</v>
      </c>
      <c r="B318" s="2" t="s">
        <v>1219</v>
      </c>
      <c r="C318" s="2" t="s">
        <v>1043</v>
      </c>
    </row>
    <row r="319" spans="1:3">
      <c r="A319" s="2" t="s">
        <v>486</v>
      </c>
      <c r="B319" s="2" t="s">
        <v>1220</v>
      </c>
      <c r="C319" s="2" t="s">
        <v>1050</v>
      </c>
    </row>
    <row r="320" spans="1:3">
      <c r="A320" s="2" t="s">
        <v>487</v>
      </c>
      <c r="B320" s="2" t="s">
        <v>1221</v>
      </c>
      <c r="C320" s="2" t="s">
        <v>1050</v>
      </c>
    </row>
    <row r="321" spans="1:3">
      <c r="A321" s="2" t="s">
        <v>488</v>
      </c>
      <c r="B321" s="2" t="s">
        <v>1222</v>
      </c>
      <c r="C321" s="2" t="s">
        <v>1043</v>
      </c>
    </row>
    <row r="322" spans="1:3">
      <c r="A322" s="2" t="s">
        <v>489</v>
      </c>
      <c r="B322" s="2" t="s">
        <v>1223</v>
      </c>
      <c r="C322" s="2" t="s">
        <v>1050</v>
      </c>
    </row>
    <row r="323" spans="1:3">
      <c r="A323" s="2" t="s">
        <v>490</v>
      </c>
      <c r="B323" s="2" t="s">
        <v>1224</v>
      </c>
      <c r="C323" s="2" t="s">
        <v>1043</v>
      </c>
    </row>
    <row r="324" spans="1:3">
      <c r="A324" s="2" t="s">
        <v>491</v>
      </c>
      <c r="B324" s="2" t="s">
        <v>1045</v>
      </c>
      <c r="C324" s="2" t="s">
        <v>1043</v>
      </c>
    </row>
    <row r="325" spans="1:3">
      <c r="A325" s="2" t="s">
        <v>492</v>
      </c>
      <c r="B325" s="2" t="s">
        <v>1225</v>
      </c>
      <c r="C325" s="2" t="s">
        <v>1043</v>
      </c>
    </row>
    <row r="326" spans="1:3">
      <c r="A326" s="2" t="s">
        <v>493</v>
      </c>
      <c r="B326" s="2" t="s">
        <v>1226</v>
      </c>
      <c r="C326" s="2" t="s">
        <v>1043</v>
      </c>
    </row>
    <row r="327" spans="1:3">
      <c r="A327" s="2" t="s">
        <v>494</v>
      </c>
      <c r="B327" s="2" t="s">
        <v>1227</v>
      </c>
      <c r="C327" s="2" t="s">
        <v>1050</v>
      </c>
    </row>
    <row r="328" spans="1:3">
      <c r="A328" s="2" t="s">
        <v>495</v>
      </c>
      <c r="B328" s="2" t="s">
        <v>1228</v>
      </c>
      <c r="C328" s="2" t="s">
        <v>1043</v>
      </c>
    </row>
    <row r="329" spans="1:3">
      <c r="A329" s="2" t="s">
        <v>496</v>
      </c>
      <c r="B329" s="2" t="s">
        <v>1229</v>
      </c>
      <c r="C329" s="2" t="s">
        <v>1050</v>
      </c>
    </row>
    <row r="330" spans="1:3">
      <c r="A330" s="2" t="s">
        <v>497</v>
      </c>
      <c r="B330" s="2" t="s">
        <v>1230</v>
      </c>
      <c r="C330" s="2" t="s">
        <v>1043</v>
      </c>
    </row>
    <row r="331" spans="1:3">
      <c r="A331" s="2" t="s">
        <v>498</v>
      </c>
      <c r="B331" s="2" t="s">
        <v>1231</v>
      </c>
      <c r="C331" s="2" t="s">
        <v>1050</v>
      </c>
    </row>
    <row r="332" spans="1:3">
      <c r="A332" s="2" t="s">
        <v>499</v>
      </c>
      <c r="B332" s="2" t="s">
        <v>1232</v>
      </c>
      <c r="C332" s="2" t="s">
        <v>1043</v>
      </c>
    </row>
    <row r="333" spans="1:3">
      <c r="A333" s="2" t="s">
        <v>500</v>
      </c>
      <c r="B333" s="2" t="s">
        <v>1233</v>
      </c>
      <c r="C333" s="2" t="s">
        <v>1050</v>
      </c>
    </row>
    <row r="334" spans="1:3">
      <c r="A334" s="2" t="s">
        <v>501</v>
      </c>
      <c r="B334" s="2" t="s">
        <v>1045</v>
      </c>
      <c r="C334" s="2" t="s">
        <v>1043</v>
      </c>
    </row>
    <row r="335" spans="1:3">
      <c r="A335" s="2" t="s">
        <v>502</v>
      </c>
      <c r="B335" s="2" t="s">
        <v>503</v>
      </c>
      <c r="C335" s="2" t="s">
        <v>1040</v>
      </c>
    </row>
    <row r="336" spans="1:3">
      <c r="A336" s="2" t="s">
        <v>504</v>
      </c>
      <c r="B336" s="2" t="s">
        <v>1234</v>
      </c>
      <c r="C336" s="2" t="s">
        <v>1050</v>
      </c>
    </row>
    <row r="337" spans="1:3">
      <c r="A337" s="2" t="s">
        <v>505</v>
      </c>
      <c r="B337" s="2" t="s">
        <v>1235</v>
      </c>
      <c r="C337" s="2" t="s">
        <v>1050</v>
      </c>
    </row>
    <row r="338" spans="1:3">
      <c r="A338" s="2" t="s">
        <v>506</v>
      </c>
      <c r="B338" s="2" t="s">
        <v>1236</v>
      </c>
      <c r="C338" s="2" t="s">
        <v>1050</v>
      </c>
    </row>
    <row r="339" spans="1:3">
      <c r="A339" s="2" t="s">
        <v>507</v>
      </c>
      <c r="B339" s="2" t="s">
        <v>1237</v>
      </c>
      <c r="C339" s="2" t="s">
        <v>1050</v>
      </c>
    </row>
    <row r="340" spans="1:3">
      <c r="A340" s="2" t="s">
        <v>508</v>
      </c>
      <c r="B340" s="2" t="s">
        <v>1238</v>
      </c>
      <c r="C340" s="2" t="s">
        <v>1050</v>
      </c>
    </row>
    <row r="341" spans="1:3">
      <c r="A341" s="2" t="s">
        <v>509</v>
      </c>
      <c r="B341" s="2" t="s">
        <v>1239</v>
      </c>
      <c r="C341" s="2" t="s">
        <v>1050</v>
      </c>
    </row>
    <row r="342" spans="1:3">
      <c r="A342" s="2" t="s">
        <v>510</v>
      </c>
      <c r="B342" s="2" t="s">
        <v>1240</v>
      </c>
      <c r="C342" s="2" t="s">
        <v>1043</v>
      </c>
    </row>
    <row r="343" spans="1:3">
      <c r="A343" s="2" t="s">
        <v>511</v>
      </c>
      <c r="B343" s="2" t="s">
        <v>1241</v>
      </c>
      <c r="C343" s="2" t="s">
        <v>1043</v>
      </c>
    </row>
    <row r="344" spans="1:3">
      <c r="A344" s="2" t="s">
        <v>512</v>
      </c>
      <c r="B344" s="2" t="s">
        <v>1242</v>
      </c>
      <c r="C344" s="2" t="s">
        <v>1243</v>
      </c>
    </row>
    <row r="345" spans="1:3">
      <c r="A345" s="2" t="s">
        <v>513</v>
      </c>
      <c r="B345" s="2" t="s">
        <v>1244</v>
      </c>
      <c r="C345" s="2" t="s">
        <v>1243</v>
      </c>
    </row>
    <row r="346" spans="1:3">
      <c r="A346" s="2" t="s">
        <v>514</v>
      </c>
      <c r="B346" s="2" t="s">
        <v>1245</v>
      </c>
      <c r="C346" s="2" t="s">
        <v>1243</v>
      </c>
    </row>
    <row r="347" spans="1:3">
      <c r="A347" s="2" t="s">
        <v>515</v>
      </c>
      <c r="B347" s="2" t="s">
        <v>1246</v>
      </c>
      <c r="C347" s="2" t="s">
        <v>1050</v>
      </c>
    </row>
    <row r="348" spans="1:3">
      <c r="A348" s="2" t="s">
        <v>516</v>
      </c>
      <c r="B348" s="2" t="s">
        <v>1247</v>
      </c>
      <c r="C348" s="2" t="s">
        <v>1050</v>
      </c>
    </row>
    <row r="349" spans="1:3">
      <c r="A349" s="2" t="s">
        <v>517</v>
      </c>
      <c r="B349" s="2" t="s">
        <v>1045</v>
      </c>
      <c r="C349" s="2" t="s">
        <v>1043</v>
      </c>
    </row>
    <row r="350" spans="1:3">
      <c r="A350" s="2" t="s">
        <v>518</v>
      </c>
      <c r="B350" s="2" t="s">
        <v>1248</v>
      </c>
      <c r="C350" s="2" t="s">
        <v>1043</v>
      </c>
    </row>
    <row r="351" spans="1:3">
      <c r="A351" s="2" t="s">
        <v>519</v>
      </c>
      <c r="B351" s="2" t="s">
        <v>1249</v>
      </c>
      <c r="C351" s="2" t="s">
        <v>1043</v>
      </c>
    </row>
    <row r="352" spans="1:3">
      <c r="A352" s="2" t="s">
        <v>1250</v>
      </c>
      <c r="B352" s="2" t="s">
        <v>1251</v>
      </c>
      <c r="C352" s="2" t="s">
        <v>1043</v>
      </c>
    </row>
    <row r="353" spans="1:3">
      <c r="A353" s="2" t="s">
        <v>520</v>
      </c>
      <c r="B353" s="2" t="s">
        <v>1252</v>
      </c>
      <c r="C353" s="2" t="s">
        <v>1050</v>
      </c>
    </row>
    <row r="354" spans="1:3">
      <c r="A354" s="2" t="s">
        <v>521</v>
      </c>
      <c r="B354" s="2" t="s">
        <v>1253</v>
      </c>
      <c r="C354" s="2" t="s">
        <v>1043</v>
      </c>
    </row>
    <row r="355" spans="1:3">
      <c r="A355" s="2" t="s">
        <v>522</v>
      </c>
      <c r="B355" s="2" t="s">
        <v>1254</v>
      </c>
      <c r="C355" s="2" t="s">
        <v>1043</v>
      </c>
    </row>
    <row r="356" spans="1:3">
      <c r="A356" s="2" t="s">
        <v>523</v>
      </c>
      <c r="B356" s="2" t="s">
        <v>1255</v>
      </c>
      <c r="C356" s="2" t="s">
        <v>1050</v>
      </c>
    </row>
    <row r="357" spans="1:3">
      <c r="A357" s="2" t="s">
        <v>524</v>
      </c>
      <c r="B357" s="2" t="s">
        <v>1256</v>
      </c>
      <c r="C357" s="2" t="s">
        <v>1043</v>
      </c>
    </row>
    <row r="358" spans="1:3">
      <c r="A358" s="2" t="s">
        <v>525</v>
      </c>
      <c r="B358" s="2" t="s">
        <v>1257</v>
      </c>
      <c r="C358" s="2" t="s">
        <v>1043</v>
      </c>
    </row>
    <row r="359" spans="1:3">
      <c r="A359" s="2" t="s">
        <v>526</v>
      </c>
      <c r="B359" s="2" t="s">
        <v>1258</v>
      </c>
      <c r="C359" s="2" t="s">
        <v>1043</v>
      </c>
    </row>
    <row r="360" spans="1:3">
      <c r="A360" s="2" t="s">
        <v>527</v>
      </c>
      <c r="B360" s="2" t="s">
        <v>1259</v>
      </c>
      <c r="C360" s="2" t="s">
        <v>1043</v>
      </c>
    </row>
    <row r="361" spans="1:3">
      <c r="A361" s="2" t="s">
        <v>528</v>
      </c>
      <c r="B361" s="2" t="s">
        <v>1260</v>
      </c>
      <c r="C361" s="2" t="s">
        <v>1043</v>
      </c>
    </row>
    <row r="362" spans="1:3">
      <c r="A362" s="2" t="s">
        <v>529</v>
      </c>
      <c r="B362" s="2" t="s">
        <v>530</v>
      </c>
      <c r="C362" s="2" t="s">
        <v>1050</v>
      </c>
    </row>
    <row r="363" spans="1:3">
      <c r="A363" s="2" t="s">
        <v>531</v>
      </c>
      <c r="B363" s="2" t="s">
        <v>1261</v>
      </c>
      <c r="C363" s="2" t="s">
        <v>1043</v>
      </c>
    </row>
    <row r="364" spans="1:3">
      <c r="A364" s="2" t="s">
        <v>532</v>
      </c>
      <c r="B364" s="2" t="s">
        <v>295</v>
      </c>
      <c r="C364" s="2" t="s">
        <v>1040</v>
      </c>
    </row>
    <row r="365" spans="1:3">
      <c r="A365" s="2" t="s">
        <v>533</v>
      </c>
      <c r="B365" s="2" t="s">
        <v>1262</v>
      </c>
      <c r="C365" s="2" t="s">
        <v>1043</v>
      </c>
    </row>
    <row r="366" spans="1:3">
      <c r="A366" s="2" t="s">
        <v>534</v>
      </c>
      <c r="B366" s="2" t="s">
        <v>1263</v>
      </c>
      <c r="C366" s="2" t="s">
        <v>1050</v>
      </c>
    </row>
    <row r="367" spans="1:3">
      <c r="A367" s="2" t="s">
        <v>535</v>
      </c>
      <c r="B367" s="2" t="s">
        <v>1264</v>
      </c>
      <c r="C367" s="2" t="s">
        <v>1043</v>
      </c>
    </row>
    <row r="368" spans="1:3">
      <c r="A368" s="2" t="s">
        <v>536</v>
      </c>
      <c r="B368" s="2" t="s">
        <v>1265</v>
      </c>
      <c r="C368" s="2" t="s">
        <v>1043</v>
      </c>
    </row>
    <row r="369" spans="1:3">
      <c r="A369" s="2" t="s">
        <v>537</v>
      </c>
      <c r="B369" s="2" t="s">
        <v>1266</v>
      </c>
      <c r="C369" s="2" t="s">
        <v>1043</v>
      </c>
    </row>
    <row r="370" spans="1:3">
      <c r="A370" s="2" t="s">
        <v>538</v>
      </c>
      <c r="B370" s="2" t="s">
        <v>1267</v>
      </c>
      <c r="C370" s="2" t="s">
        <v>1043</v>
      </c>
    </row>
    <row r="371" spans="1:3">
      <c r="A371" s="2" t="s">
        <v>539</v>
      </c>
      <c r="B371" s="2" t="s">
        <v>1268</v>
      </c>
      <c r="C371" s="2" t="s">
        <v>1043</v>
      </c>
    </row>
    <row r="372" spans="1:3">
      <c r="A372" s="2" t="s">
        <v>540</v>
      </c>
      <c r="B372" s="2" t="s">
        <v>1269</v>
      </c>
      <c r="C372" s="2" t="s">
        <v>1043</v>
      </c>
    </row>
    <row r="373" spans="1:3">
      <c r="A373" s="2" t="s">
        <v>541</v>
      </c>
      <c r="B373" s="2" t="s">
        <v>1270</v>
      </c>
      <c r="C373" s="2" t="s">
        <v>1043</v>
      </c>
    </row>
    <row r="374" spans="1:3">
      <c r="A374" s="2" t="s">
        <v>542</v>
      </c>
      <c r="B374" s="2" t="s">
        <v>1045</v>
      </c>
      <c r="C374" s="2" t="s">
        <v>1043</v>
      </c>
    </row>
    <row r="375" spans="1:3">
      <c r="A375" s="2" t="s">
        <v>543</v>
      </c>
      <c r="B375" s="2" t="s">
        <v>1271</v>
      </c>
      <c r="C375" s="2" t="s">
        <v>1043</v>
      </c>
    </row>
    <row r="376" spans="1:3">
      <c r="A376" s="2" t="s">
        <v>544</v>
      </c>
      <c r="B376" s="2" t="s">
        <v>1272</v>
      </c>
      <c r="C376" s="2" t="s">
        <v>1043</v>
      </c>
    </row>
    <row r="377" spans="1:3">
      <c r="A377" s="2" t="s">
        <v>545</v>
      </c>
      <c r="B377" s="2" t="s">
        <v>1273</v>
      </c>
      <c r="C377" s="2" t="s">
        <v>1050</v>
      </c>
    </row>
    <row r="378" spans="1:3">
      <c r="A378" s="2" t="s">
        <v>547</v>
      </c>
      <c r="B378" s="2" t="s">
        <v>1274</v>
      </c>
      <c r="C378" s="2" t="s">
        <v>1043</v>
      </c>
    </row>
    <row r="379" spans="1:3">
      <c r="A379" s="2" t="s">
        <v>548</v>
      </c>
      <c r="B379" s="2" t="s">
        <v>1275</v>
      </c>
      <c r="C379" s="2" t="s">
        <v>1043</v>
      </c>
    </row>
    <row r="380" spans="1:3">
      <c r="A380" s="2" t="s">
        <v>549</v>
      </c>
      <c r="B380" s="2" t="s">
        <v>1276</v>
      </c>
      <c r="C380" s="2" t="s">
        <v>1050</v>
      </c>
    </row>
    <row r="381" spans="1:3">
      <c r="A381" s="2" t="s">
        <v>550</v>
      </c>
      <c r="B381" s="2" t="s">
        <v>1277</v>
      </c>
      <c r="C381" s="2" t="s">
        <v>1043</v>
      </c>
    </row>
    <row r="382" spans="1:3">
      <c r="A382" s="2" t="s">
        <v>551</v>
      </c>
      <c r="B382" s="2" t="s">
        <v>1278</v>
      </c>
      <c r="C382" s="2" t="s">
        <v>1050</v>
      </c>
    </row>
    <row r="383" spans="1:3">
      <c r="A383" s="2" t="s">
        <v>552</v>
      </c>
      <c r="B383" s="2" t="s">
        <v>1279</v>
      </c>
      <c r="C383" s="2" t="s">
        <v>1043</v>
      </c>
    </row>
    <row r="384" spans="1:3">
      <c r="A384" s="2" t="s">
        <v>553</v>
      </c>
      <c r="B384" s="2" t="s">
        <v>1280</v>
      </c>
      <c r="C384" s="2" t="s">
        <v>1043</v>
      </c>
    </row>
    <row r="385" spans="1:3">
      <c r="A385" s="2" t="s">
        <v>554</v>
      </c>
      <c r="B385" s="2" t="s">
        <v>1281</v>
      </c>
      <c r="C385" s="2" t="s">
        <v>1043</v>
      </c>
    </row>
    <row r="386" spans="1:3">
      <c r="A386" s="2" t="s">
        <v>555</v>
      </c>
      <c r="B386" s="2" t="s">
        <v>1282</v>
      </c>
      <c r="C386" s="2" t="s">
        <v>1043</v>
      </c>
    </row>
    <row r="387" spans="1:3">
      <c r="A387" s="2" t="s">
        <v>556</v>
      </c>
      <c r="B387" s="2" t="s">
        <v>1045</v>
      </c>
      <c r="C387" s="2" t="s">
        <v>1043</v>
      </c>
    </row>
    <row r="388" spans="1:3">
      <c r="A388" s="2" t="s">
        <v>557</v>
      </c>
      <c r="B388" s="2" t="s">
        <v>1283</v>
      </c>
      <c r="C388" s="2" t="s">
        <v>1043</v>
      </c>
    </row>
    <row r="389" spans="1:3">
      <c r="A389" s="2" t="s">
        <v>558</v>
      </c>
      <c r="B389" s="2" t="s">
        <v>1284</v>
      </c>
      <c r="C389" s="2" t="s">
        <v>1243</v>
      </c>
    </row>
    <row r="390" spans="1:3">
      <c r="A390" s="2" t="s">
        <v>559</v>
      </c>
      <c r="B390" s="2" t="s">
        <v>1285</v>
      </c>
      <c r="C390" s="2" t="s">
        <v>1043</v>
      </c>
    </row>
    <row r="391" spans="1:3">
      <c r="A391" s="2" t="s">
        <v>560</v>
      </c>
      <c r="B391" s="2" t="s">
        <v>1286</v>
      </c>
      <c r="C391" s="2" t="s">
        <v>1243</v>
      </c>
    </row>
    <row r="392" spans="1:3">
      <c r="A392" s="2" t="s">
        <v>561</v>
      </c>
      <c r="B392" s="2" t="s">
        <v>1287</v>
      </c>
      <c r="C392" s="2" t="s">
        <v>1243</v>
      </c>
    </row>
    <row r="393" spans="1:3">
      <c r="A393" s="2" t="s">
        <v>562</v>
      </c>
      <c r="B393" s="2" t="s">
        <v>1288</v>
      </c>
      <c r="C393" s="2" t="s">
        <v>1050</v>
      </c>
    </row>
    <row r="394" spans="1:3">
      <c r="A394" s="2" t="s">
        <v>563</v>
      </c>
      <c r="B394" s="2" t="s">
        <v>1289</v>
      </c>
      <c r="C394" s="2" t="s">
        <v>1243</v>
      </c>
    </row>
    <row r="395" spans="1:3">
      <c r="A395" s="2" t="s">
        <v>564</v>
      </c>
      <c r="B395" s="2" t="s">
        <v>1290</v>
      </c>
      <c r="C395" s="2" t="s">
        <v>1050</v>
      </c>
    </row>
    <row r="396" spans="1:3">
      <c r="A396" s="2" t="s">
        <v>565</v>
      </c>
      <c r="B396" s="2" t="s">
        <v>1291</v>
      </c>
      <c r="C396" s="2" t="s">
        <v>1043</v>
      </c>
    </row>
    <row r="397" spans="1:3">
      <c r="A397" s="2" t="s">
        <v>566</v>
      </c>
      <c r="B397" s="2" t="s">
        <v>1292</v>
      </c>
      <c r="C397" s="2" t="s">
        <v>1050</v>
      </c>
    </row>
    <row r="398" spans="1:3">
      <c r="A398" s="2" t="s">
        <v>567</v>
      </c>
      <c r="B398" s="2" t="s">
        <v>1293</v>
      </c>
      <c r="C398" s="2" t="s">
        <v>1043</v>
      </c>
    </row>
    <row r="399" spans="1:3">
      <c r="A399" s="2" t="s">
        <v>568</v>
      </c>
      <c r="B399" s="2" t="s">
        <v>1294</v>
      </c>
      <c r="C399" s="2" t="s">
        <v>1050</v>
      </c>
    </row>
    <row r="400" spans="1:3">
      <c r="A400" s="2" t="s">
        <v>569</v>
      </c>
      <c r="B400" s="2" t="s">
        <v>1295</v>
      </c>
      <c r="C400" s="2" t="s">
        <v>1043</v>
      </c>
    </row>
    <row r="401" spans="1:3">
      <c r="A401" s="2" t="s">
        <v>570</v>
      </c>
      <c r="B401" s="2" t="s">
        <v>1273</v>
      </c>
      <c r="C401" s="2" t="s">
        <v>1050</v>
      </c>
    </row>
    <row r="402" spans="1:3">
      <c r="A402" s="2" t="s">
        <v>571</v>
      </c>
      <c r="B402" s="2" t="s">
        <v>1296</v>
      </c>
      <c r="C402" s="2" t="s">
        <v>1043</v>
      </c>
    </row>
    <row r="403" spans="1:3">
      <c r="A403" s="2" t="s">
        <v>572</v>
      </c>
      <c r="B403" s="2" t="s">
        <v>1278</v>
      </c>
      <c r="C403" s="2" t="s">
        <v>1050</v>
      </c>
    </row>
    <row r="404" spans="1:3">
      <c r="A404" s="2" t="s">
        <v>573</v>
      </c>
      <c r="B404" s="2" t="s">
        <v>1297</v>
      </c>
      <c r="C404" s="2" t="s">
        <v>1043</v>
      </c>
    </row>
    <row r="405" spans="1:3">
      <c r="A405" s="2" t="s">
        <v>574</v>
      </c>
      <c r="B405" s="2" t="s">
        <v>1276</v>
      </c>
      <c r="C405" s="2" t="s">
        <v>1050</v>
      </c>
    </row>
    <row r="406" spans="1:3">
      <c r="A406" s="2" t="s">
        <v>575</v>
      </c>
      <c r="B406" s="2" t="s">
        <v>1298</v>
      </c>
      <c r="C406" s="2" t="s">
        <v>1043</v>
      </c>
    </row>
    <row r="407" spans="1:3">
      <c r="A407" s="2" t="s">
        <v>576</v>
      </c>
      <c r="B407" s="2" t="s">
        <v>1299</v>
      </c>
      <c r="C407" s="2" t="s">
        <v>1050</v>
      </c>
    </row>
    <row r="408" spans="1:3">
      <c r="A408" s="2" t="s">
        <v>577</v>
      </c>
      <c r="B408" s="2" t="s">
        <v>1300</v>
      </c>
      <c r="C408" s="2" t="s">
        <v>1043</v>
      </c>
    </row>
    <row r="409" spans="1:3">
      <c r="A409" s="2" t="s">
        <v>578</v>
      </c>
      <c r="B409" s="2" t="s">
        <v>1045</v>
      </c>
      <c r="C409" s="2" t="s">
        <v>1043</v>
      </c>
    </row>
    <row r="410" spans="1:3">
      <c r="A410" s="2" t="s">
        <v>579</v>
      </c>
      <c r="B410" s="2" t="s">
        <v>1301</v>
      </c>
      <c r="C410" s="2" t="s">
        <v>1243</v>
      </c>
    </row>
    <row r="411" spans="1:3">
      <c r="A411" s="2" t="s">
        <v>580</v>
      </c>
      <c r="B411" s="2" t="s">
        <v>1302</v>
      </c>
      <c r="C411" s="2" t="s">
        <v>1243</v>
      </c>
    </row>
    <row r="412" spans="1:3">
      <c r="A412" s="2" t="s">
        <v>581</v>
      </c>
      <c r="B412" s="2" t="s">
        <v>1303</v>
      </c>
      <c r="C412" s="2" t="s">
        <v>1050</v>
      </c>
    </row>
    <row r="413" spans="1:3">
      <c r="A413" s="2" t="s">
        <v>582</v>
      </c>
      <c r="B413" s="2" t="s">
        <v>1304</v>
      </c>
      <c r="C413" s="2" t="s">
        <v>1050</v>
      </c>
    </row>
    <row r="414" spans="1:3">
      <c r="A414" s="2" t="s">
        <v>583</v>
      </c>
      <c r="B414" s="2" t="s">
        <v>1305</v>
      </c>
      <c r="C414" s="2" t="s">
        <v>1050</v>
      </c>
    </row>
    <row r="415" spans="1:3">
      <c r="A415" s="2" t="s">
        <v>584</v>
      </c>
      <c r="B415" s="2" t="s">
        <v>1306</v>
      </c>
      <c r="C415" s="2" t="s">
        <v>1050</v>
      </c>
    </row>
    <row r="416" spans="1:3">
      <c r="A416" s="2" t="s">
        <v>586</v>
      </c>
      <c r="B416" s="2" t="s">
        <v>1307</v>
      </c>
      <c r="C416" s="2" t="s">
        <v>1050</v>
      </c>
    </row>
    <row r="417" spans="1:3">
      <c r="A417" s="2" t="s">
        <v>588</v>
      </c>
      <c r="B417" s="2" t="s">
        <v>1276</v>
      </c>
      <c r="C417" s="2" t="s">
        <v>1050</v>
      </c>
    </row>
    <row r="418" spans="1:3">
      <c r="A418" s="2" t="s">
        <v>589</v>
      </c>
      <c r="B418" s="2" t="s">
        <v>1308</v>
      </c>
      <c r="C418" s="2" t="s">
        <v>1043</v>
      </c>
    </row>
    <row r="419" spans="1:3">
      <c r="A419" s="2" t="s">
        <v>590</v>
      </c>
      <c r="B419" s="2" t="s">
        <v>1045</v>
      </c>
      <c r="C419" s="2" t="s">
        <v>1043</v>
      </c>
    </row>
    <row r="420" spans="1:3">
      <c r="A420" s="2" t="s">
        <v>591</v>
      </c>
      <c r="B420" s="2" t="s">
        <v>1309</v>
      </c>
      <c r="C420" s="2" t="s">
        <v>1243</v>
      </c>
    </row>
    <row r="421" spans="1:3">
      <c r="A421" s="2" t="s">
        <v>592</v>
      </c>
      <c r="B421" s="2" t="s">
        <v>1304</v>
      </c>
      <c r="C421" s="2" t="s">
        <v>1050</v>
      </c>
    </row>
    <row r="422" spans="1:3">
      <c r="A422" s="2" t="s">
        <v>593</v>
      </c>
      <c r="B422" s="2" t="s">
        <v>1305</v>
      </c>
      <c r="C422" s="2" t="s">
        <v>1243</v>
      </c>
    </row>
    <row r="423" spans="1:3">
      <c r="A423" s="2" t="s">
        <v>594</v>
      </c>
      <c r="B423" s="2" t="s">
        <v>1306</v>
      </c>
      <c r="C423" s="2" t="s">
        <v>1050</v>
      </c>
    </row>
    <row r="424" spans="1:3">
      <c r="A424" s="2" t="s">
        <v>595</v>
      </c>
      <c r="B424" s="2" t="s">
        <v>1307</v>
      </c>
      <c r="C424" s="2" t="s">
        <v>1050</v>
      </c>
    </row>
    <row r="425" spans="1:3">
      <c r="A425" s="2" t="s">
        <v>596</v>
      </c>
      <c r="B425" s="2" t="s">
        <v>1276</v>
      </c>
      <c r="C425" s="2" t="s">
        <v>1050</v>
      </c>
    </row>
    <row r="426" spans="1:3">
      <c r="A426" s="2" t="s">
        <v>597</v>
      </c>
      <c r="B426" s="2" t="s">
        <v>1310</v>
      </c>
      <c r="C426" s="2" t="s">
        <v>1043</v>
      </c>
    </row>
    <row r="427" spans="1:3">
      <c r="A427" s="2" t="s">
        <v>598</v>
      </c>
      <c r="B427" s="2" t="s">
        <v>1288</v>
      </c>
      <c r="C427" s="2" t="s">
        <v>1050</v>
      </c>
    </row>
    <row r="428" spans="1:3">
      <c r="A428" s="2" t="s">
        <v>599</v>
      </c>
      <c r="B428" s="2" t="s">
        <v>1311</v>
      </c>
      <c r="C428" s="2" t="s">
        <v>1243</v>
      </c>
    </row>
    <row r="429" spans="1:3">
      <c r="A429" s="2" t="s">
        <v>600</v>
      </c>
      <c r="B429" s="2" t="s">
        <v>1312</v>
      </c>
      <c r="C429" s="2" t="s">
        <v>1243</v>
      </c>
    </row>
    <row r="430" spans="1:3">
      <c r="A430" s="2" t="s">
        <v>601</v>
      </c>
      <c r="B430" s="2" t="s">
        <v>1045</v>
      </c>
      <c r="C430" s="2" t="s">
        <v>1043</v>
      </c>
    </row>
    <row r="431" spans="1:3">
      <c r="A431" s="2" t="s">
        <v>602</v>
      </c>
      <c r="B431" s="2" t="s">
        <v>1301</v>
      </c>
      <c r="C431" s="2" t="s">
        <v>1243</v>
      </c>
    </row>
    <row r="432" spans="1:3">
      <c r="A432" s="2" t="s">
        <v>603</v>
      </c>
      <c r="B432" s="2" t="s">
        <v>1302</v>
      </c>
      <c r="C432" s="2" t="s">
        <v>1243</v>
      </c>
    </row>
    <row r="433" spans="1:3">
      <c r="A433" s="2" t="s">
        <v>604</v>
      </c>
      <c r="B433" s="2" t="s">
        <v>1304</v>
      </c>
      <c r="C433" s="2" t="s">
        <v>1243</v>
      </c>
    </row>
    <row r="434" spans="1:3">
      <c r="A434" s="2" t="s">
        <v>605</v>
      </c>
      <c r="B434" s="2" t="s">
        <v>1305</v>
      </c>
      <c r="C434" s="2" t="s">
        <v>1043</v>
      </c>
    </row>
    <row r="435" spans="1:3">
      <c r="A435" s="2" t="s">
        <v>606</v>
      </c>
      <c r="B435" s="2" t="s">
        <v>1306</v>
      </c>
      <c r="C435" s="2" t="s">
        <v>1050</v>
      </c>
    </row>
    <row r="436" spans="1:3">
      <c r="A436" s="2" t="s">
        <v>607</v>
      </c>
      <c r="B436" s="2" t="s">
        <v>1307</v>
      </c>
      <c r="C436" s="2" t="s">
        <v>1050</v>
      </c>
    </row>
    <row r="437" spans="1:3">
      <c r="A437" s="2" t="s">
        <v>608</v>
      </c>
      <c r="B437" s="2" t="s">
        <v>1276</v>
      </c>
      <c r="C437" s="2" t="s">
        <v>1050</v>
      </c>
    </row>
    <row r="438" spans="1:3">
      <c r="A438" s="2" t="s">
        <v>609</v>
      </c>
      <c r="B438" s="2" t="s">
        <v>1313</v>
      </c>
      <c r="C438" s="2" t="s">
        <v>1043</v>
      </c>
    </row>
    <row r="439" spans="1:3">
      <c r="A439" s="2" t="s">
        <v>610</v>
      </c>
      <c r="B439" s="2" t="s">
        <v>1314</v>
      </c>
      <c r="C439" s="2" t="s">
        <v>1243</v>
      </c>
    </row>
    <row r="440" spans="1:3">
      <c r="A440" s="2" t="s">
        <v>611</v>
      </c>
      <c r="B440" s="2" t="s">
        <v>1045</v>
      </c>
      <c r="C440" s="2" t="s">
        <v>1043</v>
      </c>
    </row>
    <row r="441" spans="1:3">
      <c r="A441" s="2" t="s">
        <v>612</v>
      </c>
      <c r="B441" s="2" t="s">
        <v>1301</v>
      </c>
      <c r="C441" s="2" t="s">
        <v>1243</v>
      </c>
    </row>
    <row r="442" spans="1:3">
      <c r="A442" s="2" t="s">
        <v>613</v>
      </c>
      <c r="B442" s="2" t="s">
        <v>1302</v>
      </c>
      <c r="C442" s="2" t="s">
        <v>1243</v>
      </c>
    </row>
    <row r="443" spans="1:3">
      <c r="A443" s="2" t="s">
        <v>614</v>
      </c>
      <c r="B443" s="2" t="s">
        <v>1306</v>
      </c>
      <c r="C443" s="2" t="s">
        <v>1043</v>
      </c>
    </row>
    <row r="444" spans="1:3">
      <c r="A444" s="2" t="s">
        <v>615</v>
      </c>
      <c r="B444" s="2" t="s">
        <v>1305</v>
      </c>
      <c r="C444" s="2" t="s">
        <v>1043</v>
      </c>
    </row>
    <row r="445" spans="1:3">
      <c r="A445" s="2" t="s">
        <v>616</v>
      </c>
      <c r="B445" s="2" t="s">
        <v>1307</v>
      </c>
      <c r="C445" s="2" t="s">
        <v>1043</v>
      </c>
    </row>
    <row r="446" spans="1:3">
      <c r="A446" s="2" t="s">
        <v>617</v>
      </c>
      <c r="B446" s="2" t="s">
        <v>1276</v>
      </c>
      <c r="C446" s="2" t="s">
        <v>1050</v>
      </c>
    </row>
    <row r="447" spans="1:3">
      <c r="A447" s="2" t="s">
        <v>618</v>
      </c>
      <c r="B447" s="2" t="s">
        <v>1315</v>
      </c>
      <c r="C447" s="2" t="s">
        <v>1043</v>
      </c>
    </row>
    <row r="448" spans="1:3">
      <c r="A448" s="2" t="s">
        <v>619</v>
      </c>
      <c r="B448" s="2" t="s">
        <v>1045</v>
      </c>
      <c r="C448" s="2" t="s">
        <v>1043</v>
      </c>
    </row>
    <row r="449" spans="1:3">
      <c r="A449" s="2" t="s">
        <v>620</v>
      </c>
      <c r="B449" s="2" t="s">
        <v>1316</v>
      </c>
      <c r="C449" s="2" t="s">
        <v>1243</v>
      </c>
    </row>
    <row r="450" spans="1:3">
      <c r="A450" s="2" t="s">
        <v>622</v>
      </c>
      <c r="B450" s="2" t="s">
        <v>1317</v>
      </c>
      <c r="C450" s="2" t="s">
        <v>1243</v>
      </c>
    </row>
    <row r="451" spans="1:3">
      <c r="A451" s="2" t="s">
        <v>623</v>
      </c>
      <c r="B451" s="2" t="s">
        <v>1318</v>
      </c>
      <c r="C451" s="2" t="s">
        <v>1243</v>
      </c>
    </row>
    <row r="452" spans="1:3">
      <c r="A452" s="2" t="s">
        <v>624</v>
      </c>
      <c r="B452" s="2" t="s">
        <v>1288</v>
      </c>
      <c r="C452" s="2" t="s">
        <v>1243</v>
      </c>
    </row>
    <row r="453" spans="1:3">
      <c r="A453" s="2" t="s">
        <v>625</v>
      </c>
      <c r="B453" s="2" t="s">
        <v>1319</v>
      </c>
      <c r="C453" s="2" t="s">
        <v>1243</v>
      </c>
    </row>
    <row r="454" spans="1:3">
      <c r="A454" s="2" t="s">
        <v>626</v>
      </c>
      <c r="B454" s="2" t="s">
        <v>1290</v>
      </c>
      <c r="C454" s="2" t="s">
        <v>1050</v>
      </c>
    </row>
    <row r="455" spans="1:3">
      <c r="A455" s="2" t="s">
        <v>627</v>
      </c>
      <c r="B455" s="2" t="s">
        <v>1320</v>
      </c>
      <c r="C455" s="2" t="s">
        <v>1043</v>
      </c>
    </row>
    <row r="456" spans="1:3">
      <c r="A456" s="2" t="s">
        <v>628</v>
      </c>
      <c r="B456" s="2" t="s">
        <v>1283</v>
      </c>
      <c r="C456" s="2" t="s">
        <v>1043</v>
      </c>
    </row>
    <row r="457" spans="1:3">
      <c r="A457" s="2" t="s">
        <v>629</v>
      </c>
      <c r="B457" s="2" t="s">
        <v>1292</v>
      </c>
      <c r="C457" s="2" t="s">
        <v>1050</v>
      </c>
    </row>
    <row r="458" spans="1:3">
      <c r="A458" s="2" t="s">
        <v>630</v>
      </c>
      <c r="B458" s="2" t="s">
        <v>1321</v>
      </c>
      <c r="C458" s="2" t="s">
        <v>1043</v>
      </c>
    </row>
    <row r="459" spans="1:3">
      <c r="A459" s="2" t="s">
        <v>631</v>
      </c>
      <c r="B459" s="2" t="s">
        <v>1278</v>
      </c>
      <c r="C459" s="2" t="s">
        <v>1050</v>
      </c>
    </row>
    <row r="460" spans="1:3">
      <c r="A460" s="2" t="s">
        <v>632</v>
      </c>
      <c r="B460" s="2" t="s">
        <v>1322</v>
      </c>
      <c r="C460" s="2" t="s">
        <v>1043</v>
      </c>
    </row>
    <row r="461" spans="1:3">
      <c r="A461" s="2" t="s">
        <v>633</v>
      </c>
      <c r="B461" s="2" t="s">
        <v>1276</v>
      </c>
      <c r="C461" s="2" t="s">
        <v>1050</v>
      </c>
    </row>
    <row r="462" spans="1:3">
      <c r="A462" s="2" t="s">
        <v>634</v>
      </c>
      <c r="B462" s="2" t="s">
        <v>1323</v>
      </c>
      <c r="C462" s="2" t="s">
        <v>1043</v>
      </c>
    </row>
    <row r="463" spans="1:3">
      <c r="A463" s="2" t="s">
        <v>635</v>
      </c>
      <c r="B463" s="2" t="s">
        <v>1045</v>
      </c>
      <c r="C463" s="2" t="s">
        <v>1043</v>
      </c>
    </row>
    <row r="464" spans="1:3">
      <c r="A464" s="2" t="s">
        <v>636</v>
      </c>
      <c r="B464" s="2" t="s">
        <v>1324</v>
      </c>
      <c r="C464" s="2" t="s">
        <v>1243</v>
      </c>
    </row>
    <row r="465" spans="1:3">
      <c r="A465" s="2" t="s">
        <v>637</v>
      </c>
      <c r="B465" s="2" t="s">
        <v>1325</v>
      </c>
      <c r="C465" s="2" t="s">
        <v>1050</v>
      </c>
    </row>
    <row r="466" spans="1:3">
      <c r="A466" s="2" t="s">
        <v>638</v>
      </c>
      <c r="B466" s="2" t="s">
        <v>1326</v>
      </c>
      <c r="C466" s="2" t="s">
        <v>1043</v>
      </c>
    </row>
    <row r="467" spans="1:3">
      <c r="A467" s="2" t="s">
        <v>639</v>
      </c>
      <c r="B467" s="2" t="s">
        <v>1327</v>
      </c>
      <c r="C467" s="2" t="s">
        <v>1050</v>
      </c>
    </row>
    <row r="468" spans="1:3">
      <c r="A468" s="2" t="s">
        <v>640</v>
      </c>
      <c r="B468" s="2" t="s">
        <v>1328</v>
      </c>
      <c r="C468" s="2" t="s">
        <v>1043</v>
      </c>
    </row>
    <row r="469" spans="1:3">
      <c r="A469" s="2" t="s">
        <v>641</v>
      </c>
      <c r="B469" s="2" t="s">
        <v>1292</v>
      </c>
      <c r="C469" s="2" t="s">
        <v>1243</v>
      </c>
    </row>
    <row r="470" spans="1:3">
      <c r="A470" s="2" t="s">
        <v>642</v>
      </c>
      <c r="B470" s="2" t="s">
        <v>1329</v>
      </c>
      <c r="C470" s="2" t="s">
        <v>1243</v>
      </c>
    </row>
    <row r="471" spans="1:3">
      <c r="A471" s="2" t="s">
        <v>643</v>
      </c>
      <c r="B471" s="2" t="s">
        <v>1330</v>
      </c>
      <c r="C471" s="2" t="s">
        <v>1050</v>
      </c>
    </row>
    <row r="472" spans="1:3">
      <c r="A472" s="2" t="s">
        <v>644</v>
      </c>
      <c r="B472" s="2" t="s">
        <v>1331</v>
      </c>
      <c r="C472" s="2" t="s">
        <v>1043</v>
      </c>
    </row>
    <row r="473" spans="1:3">
      <c r="A473" s="2" t="s">
        <v>645</v>
      </c>
      <c r="B473" s="2" t="s">
        <v>1332</v>
      </c>
      <c r="C473" s="2" t="s">
        <v>1050</v>
      </c>
    </row>
    <row r="474" spans="1:3">
      <c r="A474" s="2" t="s">
        <v>646</v>
      </c>
      <c r="B474" s="2" t="s">
        <v>1333</v>
      </c>
      <c r="C474" s="2" t="s">
        <v>1043</v>
      </c>
    </row>
    <row r="475" spans="1:3">
      <c r="A475" s="2" t="s">
        <v>647</v>
      </c>
      <c r="B475" s="2" t="s">
        <v>1334</v>
      </c>
      <c r="C475" s="2" t="s">
        <v>1050</v>
      </c>
    </row>
    <row r="476" spans="1:3">
      <c r="A476" s="2" t="s">
        <v>648</v>
      </c>
      <c r="B476" s="2" t="s">
        <v>1335</v>
      </c>
      <c r="C476" s="2" t="s">
        <v>1043</v>
      </c>
    </row>
    <row r="477" spans="1:3">
      <c r="A477" s="2" t="s">
        <v>649</v>
      </c>
      <c r="B477" s="2" t="s">
        <v>1336</v>
      </c>
      <c r="C477" s="2" t="s">
        <v>1243</v>
      </c>
    </row>
    <row r="478" spans="1:3">
      <c r="A478" s="2" t="s">
        <v>650</v>
      </c>
      <c r="B478" s="2" t="s">
        <v>1045</v>
      </c>
      <c r="C478" s="2" t="s">
        <v>1043</v>
      </c>
    </row>
    <row r="479" spans="1:3">
      <c r="A479" s="2" t="s">
        <v>651</v>
      </c>
      <c r="B479" s="2" t="s">
        <v>1337</v>
      </c>
      <c r="C479" s="2" t="s">
        <v>1243</v>
      </c>
    </row>
    <row r="480" spans="1:3">
      <c r="A480" s="2" t="s">
        <v>652</v>
      </c>
      <c r="B480" s="2" t="s">
        <v>1325</v>
      </c>
      <c r="C480" s="2" t="s">
        <v>1050</v>
      </c>
    </row>
    <row r="481" spans="1:3">
      <c r="A481" s="2" t="s">
        <v>653</v>
      </c>
      <c r="B481" s="2" t="s">
        <v>1338</v>
      </c>
      <c r="C481" s="2" t="s">
        <v>1043</v>
      </c>
    </row>
    <row r="482" spans="1:3">
      <c r="A482" s="2" t="s">
        <v>654</v>
      </c>
      <c r="B482" s="2" t="s">
        <v>1327</v>
      </c>
      <c r="C482" s="2" t="s">
        <v>1050</v>
      </c>
    </row>
    <row r="483" spans="1:3">
      <c r="A483" s="2" t="s">
        <v>655</v>
      </c>
      <c r="B483" s="2" t="s">
        <v>1339</v>
      </c>
      <c r="C483" s="2" t="s">
        <v>1043</v>
      </c>
    </row>
    <row r="484" spans="1:3">
      <c r="A484" s="2" t="s">
        <v>656</v>
      </c>
      <c r="B484" s="2" t="s">
        <v>1292</v>
      </c>
      <c r="C484" s="2" t="s">
        <v>1243</v>
      </c>
    </row>
    <row r="485" spans="1:3">
      <c r="A485" s="2" t="s">
        <v>657</v>
      </c>
      <c r="B485" s="2" t="s">
        <v>1340</v>
      </c>
      <c r="C485" s="2" t="s">
        <v>1243</v>
      </c>
    </row>
    <row r="486" spans="1:3">
      <c r="A486" s="2" t="s">
        <v>658</v>
      </c>
      <c r="B486" s="2" t="s">
        <v>1330</v>
      </c>
      <c r="C486" s="2" t="s">
        <v>1050</v>
      </c>
    </row>
    <row r="487" spans="1:3">
      <c r="A487" s="2" t="s">
        <v>659</v>
      </c>
      <c r="B487" s="2" t="s">
        <v>1341</v>
      </c>
      <c r="C487" s="2" t="s">
        <v>1043</v>
      </c>
    </row>
    <row r="488" spans="1:3">
      <c r="A488" s="2" t="s">
        <v>660</v>
      </c>
      <c r="B488" s="2" t="s">
        <v>1332</v>
      </c>
      <c r="C488" s="2" t="s">
        <v>1050</v>
      </c>
    </row>
    <row r="489" spans="1:3">
      <c r="A489" s="2" t="s">
        <v>661</v>
      </c>
      <c r="B489" s="2" t="s">
        <v>1342</v>
      </c>
      <c r="C489" s="2" t="s">
        <v>1043</v>
      </c>
    </row>
    <row r="490" spans="1:3">
      <c r="A490" s="2" t="s">
        <v>662</v>
      </c>
      <c r="B490" s="2" t="s">
        <v>1334</v>
      </c>
      <c r="C490" s="2" t="s">
        <v>1050</v>
      </c>
    </row>
    <row r="491" spans="1:3">
      <c r="A491" s="2" t="s">
        <v>663</v>
      </c>
      <c r="B491" s="2" t="s">
        <v>1343</v>
      </c>
      <c r="C491" s="2" t="s">
        <v>1043</v>
      </c>
    </row>
    <row r="492" spans="1:3">
      <c r="A492" s="2" t="s">
        <v>664</v>
      </c>
      <c r="B492" s="2" t="s">
        <v>1045</v>
      </c>
      <c r="C492" s="2" t="s">
        <v>1043</v>
      </c>
    </row>
    <row r="493" spans="1:3">
      <c r="A493" s="2" t="s">
        <v>665</v>
      </c>
      <c r="B493" s="2" t="s">
        <v>1344</v>
      </c>
      <c r="C493" s="2" t="s">
        <v>1043</v>
      </c>
    </row>
    <row r="494" spans="1:3">
      <c r="A494" s="2" t="s">
        <v>666</v>
      </c>
      <c r="B494" s="2" t="s">
        <v>1316</v>
      </c>
      <c r="C494" s="2" t="s">
        <v>1043</v>
      </c>
    </row>
    <row r="495" spans="1:3">
      <c r="A495" s="2" t="s">
        <v>667</v>
      </c>
      <c r="B495" s="2" t="s">
        <v>1345</v>
      </c>
      <c r="C495" s="2" t="s">
        <v>1050</v>
      </c>
    </row>
    <row r="496" spans="1:3">
      <c r="A496" s="2" t="s">
        <v>668</v>
      </c>
      <c r="B496" s="2" t="s">
        <v>1346</v>
      </c>
      <c r="C496" s="2" t="s">
        <v>1043</v>
      </c>
    </row>
    <row r="497" spans="1:3">
      <c r="A497" s="2" t="s">
        <v>669</v>
      </c>
      <c r="B497" s="2" t="s">
        <v>1347</v>
      </c>
      <c r="C497" s="2" t="s">
        <v>1050</v>
      </c>
    </row>
    <row r="498" spans="1:3">
      <c r="A498" s="2" t="s">
        <v>670</v>
      </c>
      <c r="B498" s="2" t="s">
        <v>1348</v>
      </c>
      <c r="C498" s="2" t="s">
        <v>1043</v>
      </c>
    </row>
    <row r="499" spans="1:3">
      <c r="A499" s="2" t="s">
        <v>671</v>
      </c>
      <c r="B499" s="2" t="s">
        <v>1349</v>
      </c>
      <c r="C499" s="2" t="s">
        <v>1050</v>
      </c>
    </row>
    <row r="500" spans="1:3">
      <c r="A500" s="2" t="s">
        <v>672</v>
      </c>
      <c r="B500" s="2" t="s">
        <v>1350</v>
      </c>
      <c r="C500" s="2" t="s">
        <v>1043</v>
      </c>
    </row>
    <row r="501" spans="1:3">
      <c r="A501" s="2" t="s">
        <v>673</v>
      </c>
      <c r="B501" s="2" t="s">
        <v>1273</v>
      </c>
      <c r="C501" s="2" t="s">
        <v>1050</v>
      </c>
    </row>
    <row r="502" spans="1:3">
      <c r="A502" s="2" t="s">
        <v>674</v>
      </c>
      <c r="B502" s="2" t="s">
        <v>1351</v>
      </c>
      <c r="C502" s="2" t="s">
        <v>1043</v>
      </c>
    </row>
    <row r="503" spans="1:3">
      <c r="A503" s="2" t="s">
        <v>675</v>
      </c>
      <c r="B503" s="2" t="s">
        <v>1278</v>
      </c>
      <c r="C503" s="2" t="s">
        <v>1050</v>
      </c>
    </row>
    <row r="504" spans="1:3">
      <c r="A504" s="2" t="s">
        <v>676</v>
      </c>
      <c r="B504" s="2" t="s">
        <v>1352</v>
      </c>
      <c r="C504" s="2" t="s">
        <v>1043</v>
      </c>
    </row>
    <row r="505" spans="1:3">
      <c r="A505" s="2" t="s">
        <v>677</v>
      </c>
      <c r="B505" s="2" t="s">
        <v>1353</v>
      </c>
      <c r="C505" s="2" t="s">
        <v>1050</v>
      </c>
    </row>
    <row r="506" spans="1:3">
      <c r="A506" s="2" t="s">
        <v>678</v>
      </c>
      <c r="B506" s="2" t="s">
        <v>1354</v>
      </c>
      <c r="C506" s="2" t="s">
        <v>1043</v>
      </c>
    </row>
    <row r="507" spans="1:3">
      <c r="A507" s="2" t="s">
        <v>679</v>
      </c>
      <c r="B507" s="2" t="s">
        <v>1355</v>
      </c>
      <c r="C507" s="2" t="s">
        <v>1043</v>
      </c>
    </row>
    <row r="508" spans="1:3">
      <c r="A508" s="2" t="s">
        <v>680</v>
      </c>
      <c r="B508" s="2" t="s">
        <v>1356</v>
      </c>
      <c r="C508" s="2" t="s">
        <v>1243</v>
      </c>
    </row>
    <row r="509" spans="1:3">
      <c r="A509" s="2" t="s">
        <v>681</v>
      </c>
      <c r="B509" s="2" t="s">
        <v>1045</v>
      </c>
      <c r="C509" s="2" t="s">
        <v>1043</v>
      </c>
    </row>
    <row r="510" spans="1:3">
      <c r="A510" s="2" t="s">
        <v>682</v>
      </c>
      <c r="B510" s="2" t="s">
        <v>683</v>
      </c>
      <c r="C510" s="2" t="s">
        <v>1040</v>
      </c>
    </row>
    <row r="511" spans="1:3">
      <c r="A511" s="2" t="s">
        <v>684</v>
      </c>
      <c r="B511" s="2" t="s">
        <v>621</v>
      </c>
      <c r="C511" s="2" t="s">
        <v>1040</v>
      </c>
    </row>
    <row r="512" spans="1:3">
      <c r="A512" s="2" t="s">
        <v>685</v>
      </c>
      <c r="B512" s="2" t="s">
        <v>587</v>
      </c>
      <c r="C512" s="2" t="s">
        <v>1040</v>
      </c>
    </row>
    <row r="513" spans="1:3">
      <c r="A513" s="2" t="s">
        <v>686</v>
      </c>
      <c r="B513" s="2" t="s">
        <v>687</v>
      </c>
      <c r="C513" s="2" t="s">
        <v>1040</v>
      </c>
    </row>
    <row r="514" spans="1:3">
      <c r="A514" s="2" t="s">
        <v>688</v>
      </c>
      <c r="B514" s="2" t="s">
        <v>689</v>
      </c>
      <c r="C514" s="2" t="s">
        <v>1040</v>
      </c>
    </row>
    <row r="515" spans="1:3">
      <c r="A515" s="2" t="s">
        <v>690</v>
      </c>
      <c r="B515" s="2" t="s">
        <v>546</v>
      </c>
      <c r="C515" s="2" t="s">
        <v>1040</v>
      </c>
    </row>
    <row r="516" spans="1:3">
      <c r="A516" s="2" t="s">
        <v>691</v>
      </c>
      <c r="B516" s="2" t="s">
        <v>692</v>
      </c>
      <c r="C516" s="2" t="s">
        <v>1040</v>
      </c>
    </row>
    <row r="517" spans="1:3">
      <c r="A517" s="2" t="s">
        <v>693</v>
      </c>
      <c r="B517" s="2" t="s">
        <v>694</v>
      </c>
      <c r="C517" s="2" t="s">
        <v>1040</v>
      </c>
    </row>
    <row r="518" spans="1:3">
      <c r="A518" s="2" t="s">
        <v>695</v>
      </c>
      <c r="B518" s="2" t="s">
        <v>696</v>
      </c>
      <c r="C518" s="2" t="s">
        <v>1040</v>
      </c>
    </row>
    <row r="519" spans="1:3">
      <c r="A519" s="2" t="s">
        <v>697</v>
      </c>
      <c r="B519" s="2" t="s">
        <v>1357</v>
      </c>
      <c r="C519" s="2" t="s">
        <v>1043</v>
      </c>
    </row>
    <row r="520" spans="1:3">
      <c r="A520" s="2" t="s">
        <v>698</v>
      </c>
      <c r="B520" s="2" t="s">
        <v>1045</v>
      </c>
      <c r="C520" s="2" t="s">
        <v>1043</v>
      </c>
    </row>
    <row r="521" spans="1:3">
      <c r="A521" s="2" t="s">
        <v>699</v>
      </c>
      <c r="B521" s="2" t="s">
        <v>1358</v>
      </c>
      <c r="C521" s="2" t="s">
        <v>1043</v>
      </c>
    </row>
    <row r="522" spans="1:3">
      <c r="A522" s="2" t="s">
        <v>700</v>
      </c>
      <c r="B522" s="2" t="s">
        <v>1359</v>
      </c>
      <c r="C522" s="2" t="s">
        <v>1043</v>
      </c>
    </row>
    <row r="523" spans="1:3">
      <c r="A523" s="2" t="s">
        <v>701</v>
      </c>
      <c r="B523" s="2" t="s">
        <v>1360</v>
      </c>
      <c r="C523" s="2" t="s">
        <v>1043</v>
      </c>
    </row>
    <row r="524" spans="1:3">
      <c r="A524" s="2" t="s">
        <v>702</v>
      </c>
      <c r="B524" s="2" t="s">
        <v>1307</v>
      </c>
      <c r="C524" s="2" t="s">
        <v>1043</v>
      </c>
    </row>
    <row r="525" spans="1:3">
      <c r="A525" s="2" t="s">
        <v>703</v>
      </c>
      <c r="B525" s="2" t="s">
        <v>1361</v>
      </c>
      <c r="C525" s="2" t="s">
        <v>1243</v>
      </c>
    </row>
    <row r="526" spans="1:3">
      <c r="A526" s="2" t="s">
        <v>704</v>
      </c>
      <c r="B526" s="2" t="s">
        <v>1362</v>
      </c>
      <c r="C526" s="2" t="s">
        <v>1243</v>
      </c>
    </row>
    <row r="527" spans="1:3">
      <c r="A527" s="2" t="s">
        <v>705</v>
      </c>
      <c r="B527" s="2" t="s">
        <v>1363</v>
      </c>
      <c r="C527" s="2" t="s">
        <v>1043</v>
      </c>
    </row>
    <row r="528" spans="1:3">
      <c r="A528" s="2" t="s">
        <v>706</v>
      </c>
      <c r="B528" s="2" t="s">
        <v>1273</v>
      </c>
      <c r="C528" s="2" t="s">
        <v>1050</v>
      </c>
    </row>
    <row r="529" spans="1:3">
      <c r="A529" s="2" t="s">
        <v>707</v>
      </c>
      <c r="B529" s="2" t="s">
        <v>1364</v>
      </c>
      <c r="C529" s="2" t="s">
        <v>1043</v>
      </c>
    </row>
    <row r="530" spans="1:3">
      <c r="A530" s="2" t="s">
        <v>708</v>
      </c>
      <c r="B530" s="2" t="s">
        <v>709</v>
      </c>
      <c r="C530" s="2" t="s">
        <v>1040</v>
      </c>
    </row>
    <row r="531" spans="1:3">
      <c r="A531" s="2" t="s">
        <v>710</v>
      </c>
      <c r="B531" s="2" t="s">
        <v>711</v>
      </c>
      <c r="C531" s="2" t="s">
        <v>1050</v>
      </c>
    </row>
    <row r="532" spans="1:3">
      <c r="A532" s="2" t="s">
        <v>712</v>
      </c>
      <c r="B532" s="2" t="s">
        <v>713</v>
      </c>
      <c r="C532" s="2" t="s">
        <v>1040</v>
      </c>
    </row>
    <row r="533" spans="1:3">
      <c r="A533" s="2" t="s">
        <v>714</v>
      </c>
      <c r="B533" s="2" t="s">
        <v>715</v>
      </c>
      <c r="C533" s="2" t="s">
        <v>1040</v>
      </c>
    </row>
    <row r="534" spans="1:3">
      <c r="A534" s="2" t="s">
        <v>716</v>
      </c>
      <c r="B534" s="2" t="s">
        <v>1045</v>
      </c>
      <c r="C534" s="2" t="s">
        <v>1043</v>
      </c>
    </row>
    <row r="535" spans="1:3">
      <c r="A535" s="2" t="s">
        <v>717</v>
      </c>
      <c r="B535" s="2" t="s">
        <v>718</v>
      </c>
      <c r="C535" s="2" t="s">
        <v>1040</v>
      </c>
    </row>
    <row r="536" spans="1:3">
      <c r="A536" s="2" t="s">
        <v>719</v>
      </c>
      <c r="B536" s="2" t="s">
        <v>720</v>
      </c>
      <c r="C536" s="2" t="s">
        <v>1040</v>
      </c>
    </row>
    <row r="537" spans="1:3">
      <c r="A537" s="2" t="s">
        <v>721</v>
      </c>
      <c r="B537" s="2" t="s">
        <v>722</v>
      </c>
      <c r="C537" s="2" t="s">
        <v>1040</v>
      </c>
    </row>
    <row r="538" spans="1:3">
      <c r="A538" s="2" t="s">
        <v>723</v>
      </c>
      <c r="B538" s="2" t="s">
        <v>724</v>
      </c>
      <c r="C538" s="2" t="s">
        <v>1040</v>
      </c>
    </row>
    <row r="539" spans="1:3">
      <c r="A539" s="2" t="s">
        <v>725</v>
      </c>
      <c r="B539" s="2" t="s">
        <v>726</v>
      </c>
      <c r="C539" s="2" t="s">
        <v>1040</v>
      </c>
    </row>
    <row r="540" spans="1:3">
      <c r="A540" s="2" t="s">
        <v>727</v>
      </c>
      <c r="B540" s="2" t="s">
        <v>728</v>
      </c>
      <c r="C540" s="2" t="s">
        <v>1040</v>
      </c>
    </row>
    <row r="541" spans="1:3">
      <c r="A541" s="2" t="s">
        <v>729</v>
      </c>
      <c r="B541" s="2" t="s">
        <v>730</v>
      </c>
      <c r="C541" s="2" t="s">
        <v>1040</v>
      </c>
    </row>
    <row r="542" spans="1:3">
      <c r="A542" s="2" t="s">
        <v>731</v>
      </c>
      <c r="B542" s="2" t="s">
        <v>1045</v>
      </c>
      <c r="C542" s="2" t="s">
        <v>1043</v>
      </c>
    </row>
    <row r="543" spans="1:3">
      <c r="A543" s="2" t="s">
        <v>732</v>
      </c>
      <c r="B543" s="2" t="s">
        <v>1365</v>
      </c>
      <c r="C543" s="2" t="s">
        <v>1050</v>
      </c>
    </row>
    <row r="544" spans="1:3">
      <c r="A544" s="2" t="s">
        <v>733</v>
      </c>
      <c r="B544" s="2" t="s">
        <v>1366</v>
      </c>
      <c r="C544" s="2" t="s">
        <v>1050</v>
      </c>
    </row>
    <row r="545" spans="1:3">
      <c r="A545" s="2" t="s">
        <v>734</v>
      </c>
      <c r="B545" s="2" t="s">
        <v>1367</v>
      </c>
      <c r="C545" s="2" t="s">
        <v>1050</v>
      </c>
    </row>
    <row r="546" spans="1:3">
      <c r="A546" s="2" t="s">
        <v>735</v>
      </c>
      <c r="B546" s="2" t="s">
        <v>1368</v>
      </c>
      <c r="C546" s="2" t="s">
        <v>1050</v>
      </c>
    </row>
    <row r="547" spans="1:3">
      <c r="A547" s="2" t="s">
        <v>736</v>
      </c>
      <c r="B547" s="2" t="s">
        <v>1369</v>
      </c>
      <c r="C547" s="2" t="s">
        <v>1050</v>
      </c>
    </row>
    <row r="548" spans="1:3">
      <c r="A548" s="2" t="s">
        <v>737</v>
      </c>
      <c r="B548" s="2" t="s">
        <v>1370</v>
      </c>
      <c r="C548" s="2" t="s">
        <v>1050</v>
      </c>
    </row>
    <row r="549" spans="1:3">
      <c r="A549" s="2" t="s">
        <v>738</v>
      </c>
      <c r="B549" s="2" t="s">
        <v>1371</v>
      </c>
      <c r="C549" s="2" t="s">
        <v>1050</v>
      </c>
    </row>
    <row r="550" spans="1:3">
      <c r="A550" s="2" t="s">
        <v>739</v>
      </c>
      <c r="B550" s="2" t="s">
        <v>1372</v>
      </c>
      <c r="C550" s="2" t="s">
        <v>1050</v>
      </c>
    </row>
    <row r="551" spans="1:3">
      <c r="A551" s="2" t="s">
        <v>740</v>
      </c>
      <c r="B551" s="2" t="s">
        <v>1373</v>
      </c>
      <c r="C551" s="2" t="s">
        <v>1050</v>
      </c>
    </row>
    <row r="552" spans="1:3">
      <c r="A552" s="2" t="s">
        <v>741</v>
      </c>
      <c r="B552" s="2" t="s">
        <v>1374</v>
      </c>
      <c r="C552" s="2" t="s">
        <v>1043</v>
      </c>
    </row>
    <row r="553" spans="1:3">
      <c r="A553" s="2" t="s">
        <v>742</v>
      </c>
      <c r="B553" s="2" t="s">
        <v>1375</v>
      </c>
      <c r="C553" s="2" t="s">
        <v>1050</v>
      </c>
    </row>
    <row r="554" spans="1:3">
      <c r="A554" s="2" t="s">
        <v>743</v>
      </c>
      <c r="B554" s="2" t="s">
        <v>1376</v>
      </c>
      <c r="C554" s="2" t="s">
        <v>1050</v>
      </c>
    </row>
    <row r="555" spans="1:3">
      <c r="A555" s="2" t="s">
        <v>744</v>
      </c>
      <c r="B555" s="2" t="s">
        <v>1377</v>
      </c>
      <c r="C555" s="2" t="s">
        <v>1050</v>
      </c>
    </row>
    <row r="556" spans="1:3">
      <c r="A556" s="2" t="s">
        <v>745</v>
      </c>
      <c r="B556" s="2" t="s">
        <v>1045</v>
      </c>
      <c r="C556" s="2" t="s">
        <v>1043</v>
      </c>
    </row>
    <row r="557" spans="1:3">
      <c r="A557" s="2" t="s">
        <v>746</v>
      </c>
      <c r="B557" s="2" t="s">
        <v>1378</v>
      </c>
      <c r="C557" s="2" t="s">
        <v>1040</v>
      </c>
    </row>
    <row r="558" spans="1:3">
      <c r="A558" s="2" t="s">
        <v>747</v>
      </c>
      <c r="B558" s="2" t="s">
        <v>748</v>
      </c>
      <c r="C558" s="2" t="s">
        <v>1040</v>
      </c>
    </row>
    <row r="559" spans="1:3">
      <c r="A559" s="2" t="s">
        <v>749</v>
      </c>
      <c r="B559" s="2" t="s">
        <v>750</v>
      </c>
      <c r="C559" s="2" t="s">
        <v>1040</v>
      </c>
    </row>
    <row r="560" spans="1:3">
      <c r="A560" s="2" t="s">
        <v>751</v>
      </c>
      <c r="B560" s="2" t="s">
        <v>752</v>
      </c>
      <c r="C560" s="2" t="s">
        <v>1040</v>
      </c>
    </row>
    <row r="561" spans="1:3">
      <c r="A561" s="2" t="s">
        <v>753</v>
      </c>
      <c r="B561" s="2" t="s">
        <v>1377</v>
      </c>
      <c r="C561" s="2" t="s">
        <v>1050</v>
      </c>
    </row>
    <row r="562" spans="1:3">
      <c r="A562" s="2" t="s">
        <v>754</v>
      </c>
      <c r="B562" s="2" t="s">
        <v>1045</v>
      </c>
      <c r="C562" s="2" t="s">
        <v>1043</v>
      </c>
    </row>
    <row r="563" spans="1:3">
      <c r="A563" s="2" t="s">
        <v>755</v>
      </c>
      <c r="B563" s="2" t="s">
        <v>1379</v>
      </c>
      <c r="C563" s="2" t="s">
        <v>1243</v>
      </c>
    </row>
    <row r="564" spans="1:3">
      <c r="A564" s="2" t="s">
        <v>756</v>
      </c>
      <c r="B564" s="2" t="s">
        <v>1380</v>
      </c>
      <c r="C564" s="2" t="s">
        <v>1050</v>
      </c>
    </row>
    <row r="565" spans="1:3">
      <c r="A565" s="2" t="s">
        <v>757</v>
      </c>
      <c r="B565" s="2" t="s">
        <v>758</v>
      </c>
      <c r="C565" s="2" t="s">
        <v>1040</v>
      </c>
    </row>
    <row r="566" spans="1:3">
      <c r="A566" s="2" t="s">
        <v>759</v>
      </c>
      <c r="B566" s="2" t="s">
        <v>760</v>
      </c>
      <c r="C566" s="2" t="s">
        <v>1040</v>
      </c>
    </row>
    <row r="567" spans="1:3">
      <c r="A567" s="2" t="s">
        <v>761</v>
      </c>
      <c r="B567" s="2" t="s">
        <v>585</v>
      </c>
      <c r="C567" s="2" t="s">
        <v>1040</v>
      </c>
    </row>
    <row r="568" spans="1:3">
      <c r="A568" s="2" t="s">
        <v>762</v>
      </c>
      <c r="B568" s="2" t="s">
        <v>763</v>
      </c>
      <c r="C568" s="2" t="s">
        <v>1040</v>
      </c>
    </row>
    <row r="569" spans="1:3">
      <c r="A569" s="2" t="s">
        <v>764</v>
      </c>
      <c r="B569" s="2" t="s">
        <v>1045</v>
      </c>
      <c r="C569" s="2" t="s">
        <v>1043</v>
      </c>
    </row>
    <row r="570" spans="1:3">
      <c r="A570" s="2" t="s">
        <v>765</v>
      </c>
      <c r="B570" s="2" t="s">
        <v>1381</v>
      </c>
      <c r="C570" s="2" t="s">
        <v>1382</v>
      </c>
    </row>
    <row r="571" spans="1:3">
      <c r="A571" s="2" t="s">
        <v>766</v>
      </c>
      <c r="B571" s="2" t="s">
        <v>1383</v>
      </c>
      <c r="C571" s="2" t="s">
        <v>1243</v>
      </c>
    </row>
    <row r="572" spans="1:3">
      <c r="A572" s="2" t="s">
        <v>767</v>
      </c>
      <c r="B572" s="2" t="s">
        <v>1384</v>
      </c>
      <c r="C572" s="2" t="s">
        <v>1382</v>
      </c>
    </row>
    <row r="573" spans="1:3">
      <c r="A573" s="2" t="s">
        <v>768</v>
      </c>
      <c r="B573" s="2" t="s">
        <v>1385</v>
      </c>
      <c r="C573" s="2" t="s">
        <v>1382</v>
      </c>
    </row>
    <row r="574" spans="1:3">
      <c r="A574" s="2" t="s">
        <v>769</v>
      </c>
      <c r="B574" s="2" t="s">
        <v>1386</v>
      </c>
      <c r="C574" s="2" t="s">
        <v>1043</v>
      </c>
    </row>
    <row r="575" spans="1:3">
      <c r="A575" s="2" t="s">
        <v>770</v>
      </c>
      <c r="B575" s="2" t="s">
        <v>1387</v>
      </c>
      <c r="C575" s="2" t="s">
        <v>1043</v>
      </c>
    </row>
    <row r="576" spans="1:3">
      <c r="A576" s="2" t="s">
        <v>771</v>
      </c>
      <c r="B576" s="2" t="s">
        <v>1388</v>
      </c>
      <c r="C576" s="2" t="s">
        <v>1043</v>
      </c>
    </row>
    <row r="577" spans="1:3">
      <c r="A577" s="2" t="s">
        <v>772</v>
      </c>
      <c r="B577" s="2" t="s">
        <v>1389</v>
      </c>
      <c r="C577" s="2" t="s">
        <v>1050</v>
      </c>
    </row>
    <row r="578" spans="1:3">
      <c r="A578" s="2" t="s">
        <v>773</v>
      </c>
      <c r="B578" s="2" t="s">
        <v>1390</v>
      </c>
      <c r="C578" s="2" t="s">
        <v>1050</v>
      </c>
    </row>
    <row r="579" spans="1:3">
      <c r="A579" s="2" t="s">
        <v>774</v>
      </c>
      <c r="B579" s="2" t="s">
        <v>1391</v>
      </c>
      <c r="C579" s="2" t="s">
        <v>1043</v>
      </c>
    </row>
    <row r="580" spans="1:3">
      <c r="A580" s="2" t="s">
        <v>775</v>
      </c>
      <c r="B580" s="2" t="s">
        <v>1392</v>
      </c>
      <c r="C580" s="2" t="s">
        <v>1050</v>
      </c>
    </row>
    <row r="581" spans="1:3">
      <c r="A581" s="2" t="s">
        <v>776</v>
      </c>
      <c r="B581" s="2" t="s">
        <v>1393</v>
      </c>
      <c r="C581" s="2" t="s">
        <v>1043</v>
      </c>
    </row>
    <row r="582" spans="1:3">
      <c r="A582" s="2" t="s">
        <v>777</v>
      </c>
      <c r="B582" s="2" t="s">
        <v>1394</v>
      </c>
      <c r="C582" s="2" t="s">
        <v>1050</v>
      </c>
    </row>
    <row r="583" spans="1:3">
      <c r="A583" s="2" t="s">
        <v>778</v>
      </c>
      <c r="B583" s="2" t="s">
        <v>1395</v>
      </c>
      <c r="C583" s="2" t="s">
        <v>1043</v>
      </c>
    </row>
    <row r="584" spans="1:3">
      <c r="A584" s="2" t="s">
        <v>779</v>
      </c>
      <c r="B584" s="2" t="s">
        <v>1396</v>
      </c>
      <c r="C584" s="2" t="s">
        <v>1043</v>
      </c>
    </row>
    <row r="585" spans="1:3">
      <c r="A585" s="2" t="s">
        <v>780</v>
      </c>
      <c r="B585" s="2" t="s">
        <v>1397</v>
      </c>
      <c r="C585" s="2" t="s">
        <v>1043</v>
      </c>
    </row>
    <row r="586" spans="1:3">
      <c r="A586" s="2" t="s">
        <v>781</v>
      </c>
      <c r="B586" s="2" t="s">
        <v>1398</v>
      </c>
      <c r="C586" s="2" t="s">
        <v>1043</v>
      </c>
    </row>
    <row r="587" spans="1:3">
      <c r="A587" s="2" t="s">
        <v>782</v>
      </c>
      <c r="B587" s="2" t="s">
        <v>1399</v>
      </c>
      <c r="C587" s="2" t="s">
        <v>1050</v>
      </c>
    </row>
    <row r="588" spans="1:3">
      <c r="A588" s="2" t="s">
        <v>783</v>
      </c>
      <c r="B588" s="2" t="s">
        <v>1400</v>
      </c>
      <c r="C588" s="2" t="s">
        <v>1050</v>
      </c>
    </row>
    <row r="589" spans="1:3">
      <c r="A589" s="2" t="s">
        <v>784</v>
      </c>
      <c r="B589" s="2" t="s">
        <v>1401</v>
      </c>
      <c r="C589" s="2" t="s">
        <v>1043</v>
      </c>
    </row>
    <row r="590" spans="1:3">
      <c r="A590" s="2" t="s">
        <v>785</v>
      </c>
      <c r="B590" s="2" t="s">
        <v>1045</v>
      </c>
      <c r="C590" s="2" t="s">
        <v>1043</v>
      </c>
    </row>
    <row r="591" spans="1:3">
      <c r="A591" s="2" t="s">
        <v>786</v>
      </c>
      <c r="B591" s="2" t="s">
        <v>1402</v>
      </c>
      <c r="C591" s="2" t="s">
        <v>1043</v>
      </c>
    </row>
    <row r="592" spans="1:3">
      <c r="A592" s="2" t="s">
        <v>787</v>
      </c>
      <c r="B592" s="2" t="s">
        <v>1403</v>
      </c>
      <c r="C592" s="2" t="s">
        <v>1050</v>
      </c>
    </row>
    <row r="593" spans="1:3">
      <c r="A593" s="2" t="s">
        <v>788</v>
      </c>
      <c r="B593" s="2" t="s">
        <v>1404</v>
      </c>
      <c r="C593" s="2" t="s">
        <v>1243</v>
      </c>
    </row>
    <row r="594" spans="1:3">
      <c r="A594" s="2" t="s">
        <v>789</v>
      </c>
      <c r="B594" s="2" t="s">
        <v>1405</v>
      </c>
      <c r="C594" s="2" t="s">
        <v>1050</v>
      </c>
    </row>
    <row r="595" spans="1:3">
      <c r="A595" s="2" t="s">
        <v>790</v>
      </c>
      <c r="B595" s="2" t="s">
        <v>1406</v>
      </c>
      <c r="C595" s="2" t="s">
        <v>1043</v>
      </c>
    </row>
    <row r="596" spans="1:3">
      <c r="A596" s="2" t="s">
        <v>791</v>
      </c>
      <c r="B596" s="2" t="s">
        <v>1407</v>
      </c>
      <c r="C596" s="2" t="s">
        <v>1050</v>
      </c>
    </row>
    <row r="597" spans="1:3">
      <c r="A597" s="2" t="s">
        <v>792</v>
      </c>
      <c r="B597" s="2" t="s">
        <v>1408</v>
      </c>
      <c r="C597" s="2" t="s">
        <v>1043</v>
      </c>
    </row>
    <row r="598" spans="1:3">
      <c r="A598" s="2" t="s">
        <v>793</v>
      </c>
      <c r="B598" s="2" t="s">
        <v>1409</v>
      </c>
      <c r="C598" s="2" t="s">
        <v>1050</v>
      </c>
    </row>
    <row r="599" spans="1:3">
      <c r="A599" s="2" t="s">
        <v>794</v>
      </c>
      <c r="B599" s="2" t="s">
        <v>1410</v>
      </c>
      <c r="C599" s="2" t="s">
        <v>1043</v>
      </c>
    </row>
    <row r="600" spans="1:3">
      <c r="A600" s="2" t="s">
        <v>795</v>
      </c>
      <c r="B600" s="2" t="s">
        <v>1411</v>
      </c>
      <c r="C600" s="2" t="s">
        <v>1185</v>
      </c>
    </row>
    <row r="601" spans="1:3">
      <c r="A601" s="2" t="s">
        <v>796</v>
      </c>
      <c r="B601" s="2" t="s">
        <v>1412</v>
      </c>
      <c r="C601" s="2" t="s">
        <v>1043</v>
      </c>
    </row>
    <row r="602" spans="1:3">
      <c r="A602" s="2" t="s">
        <v>797</v>
      </c>
      <c r="B602" s="2" t="s">
        <v>1413</v>
      </c>
      <c r="C602" s="2" t="s">
        <v>1185</v>
      </c>
    </row>
    <row r="603" spans="1:3">
      <c r="A603" s="2" t="s">
        <v>798</v>
      </c>
      <c r="B603" s="2" t="s">
        <v>1414</v>
      </c>
      <c r="C603" s="2" t="s">
        <v>1043</v>
      </c>
    </row>
    <row r="604" spans="1:3">
      <c r="A604" s="2" t="s">
        <v>799</v>
      </c>
      <c r="B604" s="2" t="s">
        <v>1415</v>
      </c>
      <c r="C604" s="2" t="s">
        <v>1043</v>
      </c>
    </row>
    <row r="605" spans="1:3">
      <c r="A605" s="2" t="s">
        <v>800</v>
      </c>
      <c r="B605" s="2" t="s">
        <v>1416</v>
      </c>
      <c r="C605" s="2" t="s">
        <v>1185</v>
      </c>
    </row>
    <row r="606" spans="1:3">
      <c r="A606" s="2" t="s">
        <v>801</v>
      </c>
      <c r="B606" s="2" t="s">
        <v>1417</v>
      </c>
      <c r="C606" s="2" t="s">
        <v>1243</v>
      </c>
    </row>
    <row r="607" spans="1:3">
      <c r="A607" s="2" t="s">
        <v>802</v>
      </c>
      <c r="B607" s="2" t="s">
        <v>1418</v>
      </c>
      <c r="C607" s="2" t="s">
        <v>1043</v>
      </c>
    </row>
    <row r="608" spans="1:3">
      <c r="A608" s="2" t="s">
        <v>803</v>
      </c>
      <c r="B608" s="2" t="s">
        <v>1419</v>
      </c>
      <c r="C608" s="2" t="s">
        <v>1043</v>
      </c>
    </row>
    <row r="609" spans="1:3">
      <c r="A609" s="2" t="s">
        <v>804</v>
      </c>
      <c r="B609" s="2" t="s">
        <v>1420</v>
      </c>
      <c r="C609" s="2" t="s">
        <v>1043</v>
      </c>
    </row>
    <row r="610" spans="1:3">
      <c r="A610" s="2" t="s">
        <v>805</v>
      </c>
      <c r="B610" s="2" t="s">
        <v>1421</v>
      </c>
      <c r="C610" s="2" t="s">
        <v>1043</v>
      </c>
    </row>
    <row r="611" spans="1:3">
      <c r="A611" s="2" t="s">
        <v>806</v>
      </c>
      <c r="B611" s="2" t="s">
        <v>1422</v>
      </c>
      <c r="C611" s="2" t="s">
        <v>1043</v>
      </c>
    </row>
    <row r="612" spans="1:3">
      <c r="A612" s="2" t="s">
        <v>807</v>
      </c>
      <c r="B612" s="2" t="s">
        <v>1423</v>
      </c>
      <c r="C612" s="2" t="s">
        <v>1043</v>
      </c>
    </row>
    <row r="613" spans="1:3">
      <c r="A613" s="2" t="s">
        <v>808</v>
      </c>
      <c r="B613" s="2" t="s">
        <v>1424</v>
      </c>
      <c r="C613" s="2" t="s">
        <v>1043</v>
      </c>
    </row>
    <row r="614" spans="1:3">
      <c r="A614" s="2" t="s">
        <v>809</v>
      </c>
      <c r="B614" s="2" t="s">
        <v>1425</v>
      </c>
      <c r="C614" s="2" t="s">
        <v>1043</v>
      </c>
    </row>
    <row r="615" spans="1:3">
      <c r="A615" s="2" t="s">
        <v>810</v>
      </c>
      <c r="B615" s="2" t="s">
        <v>1426</v>
      </c>
      <c r="C615" s="2" t="s">
        <v>1043</v>
      </c>
    </row>
    <row r="616" spans="1:3">
      <c r="A616" s="2" t="s">
        <v>811</v>
      </c>
      <c r="B616" s="2" t="s">
        <v>1427</v>
      </c>
      <c r="C616" s="2" t="s">
        <v>1043</v>
      </c>
    </row>
    <row r="617" spans="1:3">
      <c r="A617" s="2" t="s">
        <v>812</v>
      </c>
      <c r="B617" s="2" t="s">
        <v>1428</v>
      </c>
      <c r="C617" s="2" t="s">
        <v>1043</v>
      </c>
    </row>
    <row r="618" spans="1:3">
      <c r="A618" s="2" t="s">
        <v>813</v>
      </c>
      <c r="B618" s="2" t="s">
        <v>1429</v>
      </c>
      <c r="C618" s="2" t="s">
        <v>1043</v>
      </c>
    </row>
    <row r="619" spans="1:3">
      <c r="A619" s="2" t="s">
        <v>814</v>
      </c>
      <c r="B619" s="2" t="s">
        <v>1430</v>
      </c>
      <c r="C619" s="2" t="s">
        <v>1043</v>
      </c>
    </row>
    <row r="620" spans="1:3">
      <c r="A620" s="2" t="s">
        <v>815</v>
      </c>
      <c r="B620" s="2" t="s">
        <v>1431</v>
      </c>
      <c r="C620" s="2" t="s">
        <v>1043</v>
      </c>
    </row>
    <row r="621" spans="1:3">
      <c r="A621" s="2" t="s">
        <v>816</v>
      </c>
      <c r="B621" s="2" t="s">
        <v>1432</v>
      </c>
      <c r="C621" s="2" t="s">
        <v>1043</v>
      </c>
    </row>
    <row r="622" spans="1:3">
      <c r="A622" s="2" t="s">
        <v>817</v>
      </c>
      <c r="B622" s="2" t="s">
        <v>1433</v>
      </c>
      <c r="C622" s="2" t="s">
        <v>1043</v>
      </c>
    </row>
    <row r="623" spans="1:3">
      <c r="A623" s="2" t="s">
        <v>818</v>
      </c>
      <c r="B623" s="2" t="s">
        <v>1434</v>
      </c>
      <c r="C623" s="2" t="s">
        <v>1043</v>
      </c>
    </row>
    <row r="624" spans="1:3">
      <c r="A624" s="2" t="s">
        <v>819</v>
      </c>
      <c r="B624" s="2" t="s">
        <v>1435</v>
      </c>
      <c r="C624" s="2" t="s">
        <v>1043</v>
      </c>
    </row>
    <row r="625" spans="1:3">
      <c r="A625" s="2" t="s">
        <v>820</v>
      </c>
      <c r="B625" s="2" t="s">
        <v>1436</v>
      </c>
      <c r="C625" s="2" t="s">
        <v>1043</v>
      </c>
    </row>
    <row r="626" spans="1:3">
      <c r="A626" s="2" t="s">
        <v>821</v>
      </c>
      <c r="B626" s="2" t="s">
        <v>1437</v>
      </c>
      <c r="C626" s="2" t="s">
        <v>1043</v>
      </c>
    </row>
    <row r="627" spans="1:3">
      <c r="A627" s="2" t="s">
        <v>822</v>
      </c>
      <c r="B627" s="2" t="s">
        <v>1045</v>
      </c>
      <c r="C627" s="2" t="s">
        <v>1043</v>
      </c>
    </row>
    <row r="628" spans="1:3">
      <c r="A628" s="2" t="s">
        <v>823</v>
      </c>
      <c r="B628" s="2" t="s">
        <v>1438</v>
      </c>
      <c r="C628" s="2" t="s">
        <v>1243</v>
      </c>
    </row>
    <row r="629" spans="1:3">
      <c r="A629" s="2" t="s">
        <v>824</v>
      </c>
      <c r="B629" s="2" t="s">
        <v>1439</v>
      </c>
      <c r="C629" s="2" t="s">
        <v>1050</v>
      </c>
    </row>
    <row r="630" spans="1:3">
      <c r="A630" s="2" t="s">
        <v>825</v>
      </c>
      <c r="B630" s="2" t="s">
        <v>1440</v>
      </c>
      <c r="C630" s="2" t="s">
        <v>1050</v>
      </c>
    </row>
    <row r="631" spans="1:3">
      <c r="A631" s="2" t="s">
        <v>826</v>
      </c>
      <c r="B631" s="2" t="s">
        <v>1441</v>
      </c>
      <c r="C631" s="2" t="s">
        <v>1050</v>
      </c>
    </row>
    <row r="632" spans="1:3">
      <c r="A632" s="2" t="s">
        <v>827</v>
      </c>
      <c r="B632" s="2" t="s">
        <v>1442</v>
      </c>
      <c r="C632" s="2" t="s">
        <v>1050</v>
      </c>
    </row>
    <row r="633" spans="1:3">
      <c r="A633" s="2" t="s">
        <v>828</v>
      </c>
      <c r="B633" s="2" t="s">
        <v>1443</v>
      </c>
      <c r="C633" s="2" t="s">
        <v>1043</v>
      </c>
    </row>
    <row r="634" spans="1:3">
      <c r="A634" s="2" t="s">
        <v>829</v>
      </c>
      <c r="B634" s="2" t="s">
        <v>1444</v>
      </c>
      <c r="C634" s="2" t="s">
        <v>1043</v>
      </c>
    </row>
    <row r="635" spans="1:3">
      <c r="A635" s="2" t="s">
        <v>830</v>
      </c>
      <c r="B635" s="2" t="s">
        <v>1445</v>
      </c>
      <c r="C635" s="2" t="s">
        <v>1043</v>
      </c>
    </row>
    <row r="636" spans="1:3">
      <c r="A636" s="2" t="s">
        <v>831</v>
      </c>
      <c r="B636" s="2" t="s">
        <v>1446</v>
      </c>
      <c r="C636" s="2" t="s">
        <v>1043</v>
      </c>
    </row>
    <row r="637" spans="1:3">
      <c r="A637" s="2" t="s">
        <v>832</v>
      </c>
      <c r="B637" s="2" t="s">
        <v>1447</v>
      </c>
      <c r="C637" s="2" t="s">
        <v>1043</v>
      </c>
    </row>
    <row r="638" spans="1:3">
      <c r="A638" s="2" t="s">
        <v>833</v>
      </c>
      <c r="B638" s="2" t="s">
        <v>1448</v>
      </c>
      <c r="C638" s="2" t="s">
        <v>1043</v>
      </c>
    </row>
    <row r="639" spans="1:3">
      <c r="A639" s="2" t="s">
        <v>834</v>
      </c>
      <c r="B639" s="2" t="s">
        <v>1449</v>
      </c>
      <c r="C639" s="2" t="s">
        <v>1043</v>
      </c>
    </row>
    <row r="640" spans="1:3">
      <c r="A640" s="2" t="s">
        <v>835</v>
      </c>
      <c r="B640" s="2" t="s">
        <v>1450</v>
      </c>
      <c r="C640" s="2" t="s">
        <v>1043</v>
      </c>
    </row>
    <row r="641" spans="1:3">
      <c r="A641" s="2" t="s">
        <v>836</v>
      </c>
      <c r="B641" s="2" t="s">
        <v>1451</v>
      </c>
      <c r="C641" s="2" t="s">
        <v>1185</v>
      </c>
    </row>
    <row r="642" spans="1:3">
      <c r="A642" s="2" t="s">
        <v>837</v>
      </c>
      <c r="B642" s="2" t="s">
        <v>1452</v>
      </c>
      <c r="C642" s="2" t="s">
        <v>1050</v>
      </c>
    </row>
    <row r="643" spans="1:3">
      <c r="A643" s="2" t="s">
        <v>838</v>
      </c>
      <c r="B643" s="2" t="s">
        <v>1453</v>
      </c>
      <c r="C643" s="2" t="s">
        <v>1185</v>
      </c>
    </row>
    <row r="644" spans="1:3">
      <c r="A644" s="2" t="s">
        <v>839</v>
      </c>
      <c r="B644" s="2" t="s">
        <v>1454</v>
      </c>
      <c r="C644" s="2" t="s">
        <v>1185</v>
      </c>
    </row>
    <row r="645" spans="1:3">
      <c r="A645" s="2" t="s">
        <v>840</v>
      </c>
      <c r="B645" s="2" t="s">
        <v>1455</v>
      </c>
      <c r="C645" s="2" t="s">
        <v>1185</v>
      </c>
    </row>
    <row r="646" spans="1:3">
      <c r="A646" s="2" t="s">
        <v>841</v>
      </c>
      <c r="B646" s="2" t="s">
        <v>1456</v>
      </c>
      <c r="C646" s="2" t="s">
        <v>1243</v>
      </c>
    </row>
    <row r="647" spans="1:3">
      <c r="A647" s="2" t="s">
        <v>842</v>
      </c>
      <c r="B647" s="2" t="s">
        <v>1457</v>
      </c>
      <c r="C647" s="2" t="s">
        <v>1243</v>
      </c>
    </row>
    <row r="648" spans="1:3">
      <c r="A648" s="2" t="s">
        <v>843</v>
      </c>
      <c r="B648" s="2" t="s">
        <v>1458</v>
      </c>
      <c r="C648" s="2" t="s">
        <v>1185</v>
      </c>
    </row>
    <row r="649" spans="1:3">
      <c r="A649" s="2" t="s">
        <v>844</v>
      </c>
      <c r="B649" s="2" t="s">
        <v>1459</v>
      </c>
      <c r="C649" s="2" t="s">
        <v>1243</v>
      </c>
    </row>
    <row r="650" spans="1:3">
      <c r="A650" s="2" t="s">
        <v>845</v>
      </c>
      <c r="B650" s="2" t="s">
        <v>1460</v>
      </c>
      <c r="C650" s="2" t="s">
        <v>1243</v>
      </c>
    </row>
    <row r="651" spans="1:3">
      <c r="A651" s="2" t="s">
        <v>846</v>
      </c>
      <c r="B651" s="2" t="s">
        <v>1461</v>
      </c>
      <c r="C651" s="2" t="s">
        <v>1050</v>
      </c>
    </row>
    <row r="652" spans="1:3">
      <c r="A652" s="2" t="s">
        <v>847</v>
      </c>
      <c r="B652" s="2" t="s">
        <v>1462</v>
      </c>
      <c r="C652" s="2" t="s">
        <v>1243</v>
      </c>
    </row>
    <row r="653" spans="1:3">
      <c r="A653" s="2" t="s">
        <v>848</v>
      </c>
      <c r="B653" s="2" t="s">
        <v>1463</v>
      </c>
      <c r="C653" s="2" t="s">
        <v>1043</v>
      </c>
    </row>
    <row r="654" spans="1:3">
      <c r="A654" s="2" t="s">
        <v>849</v>
      </c>
      <c r="B654" s="2" t="s">
        <v>1464</v>
      </c>
      <c r="C654" s="2" t="s">
        <v>1185</v>
      </c>
    </row>
    <row r="655" spans="1:3">
      <c r="A655" s="2" t="s">
        <v>850</v>
      </c>
      <c r="B655" s="2" t="s">
        <v>1465</v>
      </c>
      <c r="C655" s="2" t="s">
        <v>1043</v>
      </c>
    </row>
    <row r="656" spans="1:3">
      <c r="A656" s="2" t="s">
        <v>851</v>
      </c>
      <c r="B656" s="2" t="s">
        <v>1466</v>
      </c>
      <c r="C656" s="2" t="s">
        <v>1185</v>
      </c>
    </row>
    <row r="657" spans="1:3">
      <c r="A657" s="2" t="s">
        <v>852</v>
      </c>
      <c r="B657" s="2" t="s">
        <v>1467</v>
      </c>
      <c r="C657" s="2" t="s">
        <v>1243</v>
      </c>
    </row>
    <row r="658" spans="1:3">
      <c r="A658" s="2" t="s">
        <v>853</v>
      </c>
      <c r="B658" s="2" t="s">
        <v>1468</v>
      </c>
      <c r="C658" s="2" t="s">
        <v>1185</v>
      </c>
    </row>
    <row r="659" spans="1:3">
      <c r="A659" s="2" t="s">
        <v>854</v>
      </c>
      <c r="B659" s="2" t="s">
        <v>1469</v>
      </c>
      <c r="C659" s="2" t="s">
        <v>1185</v>
      </c>
    </row>
    <row r="660" spans="1:3">
      <c r="A660" s="2" t="s">
        <v>855</v>
      </c>
      <c r="B660" s="2" t="s">
        <v>1470</v>
      </c>
      <c r="C660" s="2" t="s">
        <v>1185</v>
      </c>
    </row>
    <row r="661" spans="1:3">
      <c r="A661" s="2" t="s">
        <v>856</v>
      </c>
      <c r="B661" s="2" t="s">
        <v>1471</v>
      </c>
      <c r="C661" s="2" t="s">
        <v>1043</v>
      </c>
    </row>
    <row r="662" spans="1:3">
      <c r="A662" s="2" t="s">
        <v>857</v>
      </c>
      <c r="B662" s="2" t="s">
        <v>1472</v>
      </c>
      <c r="C662" s="2" t="s">
        <v>1043</v>
      </c>
    </row>
    <row r="663" spans="1:3">
      <c r="A663" s="2" t="s">
        <v>858</v>
      </c>
      <c r="B663" s="2" t="s">
        <v>1473</v>
      </c>
      <c r="C663" s="2" t="s">
        <v>1043</v>
      </c>
    </row>
    <row r="664" spans="1:3">
      <c r="A664" s="2" t="s">
        <v>859</v>
      </c>
      <c r="B664" s="2" t="s">
        <v>1045</v>
      </c>
      <c r="C664" s="2" t="s">
        <v>1043</v>
      </c>
    </row>
    <row r="665" spans="1:3">
      <c r="A665" s="2" t="s">
        <v>860</v>
      </c>
      <c r="B665" s="2" t="s">
        <v>1474</v>
      </c>
      <c r="C665" s="2" t="s">
        <v>1243</v>
      </c>
    </row>
    <row r="666" spans="1:3">
      <c r="A666" s="2" t="s">
        <v>861</v>
      </c>
      <c r="B666" s="2" t="s">
        <v>1475</v>
      </c>
      <c r="C666" s="2" t="s">
        <v>1243</v>
      </c>
    </row>
    <row r="667" spans="1:3">
      <c r="A667" s="2" t="s">
        <v>862</v>
      </c>
      <c r="B667" s="2" t="s">
        <v>1476</v>
      </c>
      <c r="C667" s="2" t="s">
        <v>1243</v>
      </c>
    </row>
    <row r="668" spans="1:3">
      <c r="A668" s="2" t="s">
        <v>863</v>
      </c>
      <c r="B668" s="2" t="s">
        <v>1477</v>
      </c>
      <c r="C668" s="2" t="s">
        <v>1243</v>
      </c>
    </row>
    <row r="669" spans="1:3">
      <c r="A669" s="2" t="s">
        <v>864</v>
      </c>
      <c r="B669" s="2" t="s">
        <v>1478</v>
      </c>
      <c r="C669" s="2" t="s">
        <v>1479</v>
      </c>
    </row>
    <row r="670" spans="1:3">
      <c r="A670" s="2" t="s">
        <v>865</v>
      </c>
      <c r="B670" s="2" t="s">
        <v>1480</v>
      </c>
      <c r="C670" s="2" t="s">
        <v>1185</v>
      </c>
    </row>
    <row r="671" spans="1:3">
      <c r="A671" s="2" t="s">
        <v>866</v>
      </c>
      <c r="B671" s="2" t="s">
        <v>1481</v>
      </c>
      <c r="C671" s="2" t="s">
        <v>1479</v>
      </c>
    </row>
    <row r="672" spans="1:3">
      <c r="A672" s="2" t="s">
        <v>867</v>
      </c>
      <c r="B672" s="2" t="s">
        <v>1482</v>
      </c>
      <c r="C672" s="2" t="s">
        <v>1185</v>
      </c>
    </row>
    <row r="673" spans="1:3">
      <c r="A673" s="2" t="s">
        <v>868</v>
      </c>
      <c r="B673" s="2" t="s">
        <v>1483</v>
      </c>
      <c r="C673" s="2" t="s">
        <v>1043</v>
      </c>
    </row>
    <row r="674" spans="1:3">
      <c r="A674" s="2" t="s">
        <v>869</v>
      </c>
      <c r="B674" s="2" t="s">
        <v>1484</v>
      </c>
      <c r="C674" s="2" t="s">
        <v>1043</v>
      </c>
    </row>
    <row r="675" spans="1:3">
      <c r="A675" s="2" t="s">
        <v>870</v>
      </c>
      <c r="B675" s="2" t="s">
        <v>1485</v>
      </c>
      <c r="C675" s="2" t="s">
        <v>1043</v>
      </c>
    </row>
    <row r="676" spans="1:3">
      <c r="A676" s="2" t="s">
        <v>871</v>
      </c>
      <c r="B676" s="2" t="s">
        <v>1486</v>
      </c>
      <c r="C676" s="2" t="s">
        <v>1043</v>
      </c>
    </row>
    <row r="677" spans="1:3">
      <c r="A677" s="2" t="s">
        <v>872</v>
      </c>
      <c r="B677" s="2" t="s">
        <v>1487</v>
      </c>
      <c r="C677" s="2" t="s">
        <v>1043</v>
      </c>
    </row>
    <row r="678" spans="1:3">
      <c r="A678" s="2" t="s">
        <v>873</v>
      </c>
      <c r="B678" s="2" t="s">
        <v>874</v>
      </c>
      <c r="C678" s="2" t="s">
        <v>1040</v>
      </c>
    </row>
    <row r="679" spans="1:3">
      <c r="A679" s="2" t="s">
        <v>875</v>
      </c>
      <c r="B679" s="2" t="s">
        <v>876</v>
      </c>
      <c r="C679" s="2" t="s">
        <v>1040</v>
      </c>
    </row>
    <row r="680" spans="1:3">
      <c r="A680" s="2" t="s">
        <v>877</v>
      </c>
      <c r="B680" s="2" t="s">
        <v>878</v>
      </c>
      <c r="C680" s="2" t="s">
        <v>1040</v>
      </c>
    </row>
    <row r="681" spans="1:3">
      <c r="A681" s="2" t="s">
        <v>879</v>
      </c>
      <c r="B681" s="2" t="s">
        <v>1488</v>
      </c>
      <c r="C681" s="2" t="s">
        <v>1243</v>
      </c>
    </row>
    <row r="682" spans="1:3">
      <c r="A682" s="2" t="s">
        <v>880</v>
      </c>
      <c r="B682" s="2" t="s">
        <v>1489</v>
      </c>
      <c r="C682" s="2" t="s">
        <v>1243</v>
      </c>
    </row>
    <row r="683" spans="1:3">
      <c r="A683" s="2" t="s">
        <v>881</v>
      </c>
      <c r="B683" s="2" t="s">
        <v>1490</v>
      </c>
      <c r="C683" s="2" t="s">
        <v>1491</v>
      </c>
    </row>
    <row r="684" spans="1:3">
      <c r="A684" s="2" t="s">
        <v>882</v>
      </c>
      <c r="B684" s="2" t="s">
        <v>1492</v>
      </c>
      <c r="C684" s="2" t="s">
        <v>1050</v>
      </c>
    </row>
    <row r="685" spans="1:3">
      <c r="A685" s="2" t="s">
        <v>883</v>
      </c>
      <c r="B685" s="2" t="s">
        <v>1493</v>
      </c>
      <c r="C685" s="2" t="s">
        <v>1050</v>
      </c>
    </row>
    <row r="686" spans="1:3">
      <c r="A686" s="2" t="s">
        <v>884</v>
      </c>
      <c r="B686" s="2" t="s">
        <v>1494</v>
      </c>
      <c r="C686" s="2" t="s">
        <v>1185</v>
      </c>
    </row>
    <row r="687" spans="1:3">
      <c r="A687" s="2" t="s">
        <v>885</v>
      </c>
      <c r="B687" s="2" t="s">
        <v>1495</v>
      </c>
      <c r="C687" s="2" t="s">
        <v>1491</v>
      </c>
    </row>
    <row r="688" spans="1:3">
      <c r="A688" s="2" t="s">
        <v>886</v>
      </c>
      <c r="B688" s="2" t="s">
        <v>1496</v>
      </c>
      <c r="C688" s="2" t="s">
        <v>1050</v>
      </c>
    </row>
    <row r="689" spans="1:3">
      <c r="A689" s="2" t="s">
        <v>887</v>
      </c>
      <c r="B689" s="2" t="s">
        <v>1497</v>
      </c>
      <c r="C689" s="2" t="s">
        <v>1243</v>
      </c>
    </row>
    <row r="690" spans="1:3">
      <c r="A690" s="2" t="s">
        <v>888</v>
      </c>
      <c r="B690" s="2" t="s">
        <v>1498</v>
      </c>
      <c r="C690" s="2" t="s">
        <v>1243</v>
      </c>
    </row>
    <row r="691" spans="1:3">
      <c r="A691" s="2" t="s">
        <v>889</v>
      </c>
      <c r="B691" s="2" t="s">
        <v>1499</v>
      </c>
      <c r="C691" s="2" t="s">
        <v>1243</v>
      </c>
    </row>
    <row r="692" spans="1:3">
      <c r="A692" s="2" t="s">
        <v>890</v>
      </c>
      <c r="B692" s="2" t="s">
        <v>1500</v>
      </c>
      <c r="C692" s="2" t="s">
        <v>1243</v>
      </c>
    </row>
    <row r="693" spans="1:3">
      <c r="A693" s="2" t="s">
        <v>891</v>
      </c>
      <c r="B693" s="2" t="s">
        <v>1501</v>
      </c>
      <c r="C693" s="2" t="s">
        <v>1185</v>
      </c>
    </row>
    <row r="694" spans="1:3">
      <c r="A694" s="2" t="s">
        <v>892</v>
      </c>
      <c r="B694" s="2" t="s">
        <v>1502</v>
      </c>
      <c r="C694" s="2" t="s">
        <v>1491</v>
      </c>
    </row>
    <row r="695" spans="1:3">
      <c r="A695" s="2" t="s">
        <v>893</v>
      </c>
      <c r="B695" s="2" t="s">
        <v>1045</v>
      </c>
      <c r="C695" s="2" t="s">
        <v>1043</v>
      </c>
    </row>
    <row r="696" spans="1:3">
      <c r="A696" s="2" t="s">
        <v>894</v>
      </c>
      <c r="B696" s="2" t="s">
        <v>1503</v>
      </c>
      <c r="C696" s="2" t="s">
        <v>1382</v>
      </c>
    </row>
    <row r="697" spans="1:3">
      <c r="A697" s="2" t="s">
        <v>895</v>
      </c>
      <c r="B697" s="2" t="s">
        <v>1504</v>
      </c>
      <c r="C697" s="2" t="s">
        <v>1050</v>
      </c>
    </row>
    <row r="698" spans="1:3">
      <c r="A698" s="2" t="s">
        <v>896</v>
      </c>
      <c r="B698" s="2" t="s">
        <v>1505</v>
      </c>
      <c r="C698" s="2" t="s">
        <v>1382</v>
      </c>
    </row>
    <row r="699" spans="1:3">
      <c r="A699" s="2" t="s">
        <v>897</v>
      </c>
      <c r="B699" s="2" t="s">
        <v>1506</v>
      </c>
      <c r="C699" s="2" t="s">
        <v>1382</v>
      </c>
    </row>
    <row r="700" spans="1:3">
      <c r="A700" s="2" t="s">
        <v>898</v>
      </c>
      <c r="B700" s="2" t="s">
        <v>1507</v>
      </c>
      <c r="C700" s="2" t="s">
        <v>1050</v>
      </c>
    </row>
    <row r="701" spans="1:3">
      <c r="A701" s="2" t="s">
        <v>899</v>
      </c>
      <c r="B701" s="2" t="s">
        <v>1508</v>
      </c>
      <c r="C701" s="2" t="s">
        <v>1382</v>
      </c>
    </row>
    <row r="702" spans="1:3">
      <c r="A702" s="2" t="s">
        <v>900</v>
      </c>
      <c r="B702" s="2" t="s">
        <v>1509</v>
      </c>
      <c r="C702" s="2" t="s">
        <v>1050</v>
      </c>
    </row>
    <row r="703" spans="1:3">
      <c r="A703" s="2" t="s">
        <v>901</v>
      </c>
      <c r="B703" s="2" t="s">
        <v>902</v>
      </c>
      <c r="C703" s="2" t="s">
        <v>1040</v>
      </c>
    </row>
    <row r="704" spans="1:3">
      <c r="A704" s="2" t="s">
        <v>903</v>
      </c>
      <c r="B704" s="2" t="s">
        <v>904</v>
      </c>
      <c r="C704" s="2" t="s">
        <v>1040</v>
      </c>
    </row>
    <row r="705" spans="1:3">
      <c r="A705" s="2" t="s">
        <v>905</v>
      </c>
      <c r="B705" s="2" t="s">
        <v>906</v>
      </c>
      <c r="C705" s="2" t="s">
        <v>1040</v>
      </c>
    </row>
    <row r="706" spans="1:3">
      <c r="A706" s="2" t="s">
        <v>907</v>
      </c>
      <c r="B706" s="2" t="s">
        <v>1510</v>
      </c>
      <c r="C706" s="2" t="s">
        <v>1040</v>
      </c>
    </row>
    <row r="707" spans="1:3">
      <c r="A707" s="2" t="s">
        <v>908</v>
      </c>
      <c r="B707" s="2" t="s">
        <v>1511</v>
      </c>
      <c r="C707" s="2" t="s">
        <v>1491</v>
      </c>
    </row>
    <row r="708" spans="1:3">
      <c r="A708" s="2" t="s">
        <v>909</v>
      </c>
      <c r="B708" s="2" t="s">
        <v>1512</v>
      </c>
      <c r="C708" s="2" t="s">
        <v>1043</v>
      </c>
    </row>
    <row r="709" spans="1:3">
      <c r="A709" s="2" t="s">
        <v>910</v>
      </c>
      <c r="B709" s="2" t="s">
        <v>1513</v>
      </c>
      <c r="C709" s="2" t="s">
        <v>1050</v>
      </c>
    </row>
    <row r="710" spans="1:3">
      <c r="A710" s="2" t="s">
        <v>911</v>
      </c>
      <c r="B710" s="2" t="s">
        <v>1514</v>
      </c>
      <c r="C710" s="2" t="s">
        <v>1043</v>
      </c>
    </row>
    <row r="711" spans="1:3">
      <c r="A711" s="2" t="s">
        <v>912</v>
      </c>
      <c r="B711" s="2" t="s">
        <v>913</v>
      </c>
      <c r="C711" s="2" t="s">
        <v>1040</v>
      </c>
    </row>
    <row r="712" spans="1:3">
      <c r="A712" s="2" t="s">
        <v>914</v>
      </c>
      <c r="B712" s="2" t="s">
        <v>915</v>
      </c>
      <c r="C712" s="2" t="s">
        <v>1040</v>
      </c>
    </row>
    <row r="713" spans="1:3">
      <c r="A713" s="2" t="s">
        <v>916</v>
      </c>
      <c r="B713" s="2" t="s">
        <v>917</v>
      </c>
      <c r="C713" s="2" t="s">
        <v>1040</v>
      </c>
    </row>
    <row r="714" spans="1:3">
      <c r="A714" s="2" t="s">
        <v>918</v>
      </c>
      <c r="B714" s="2" t="s">
        <v>919</v>
      </c>
      <c r="C714" s="2" t="s">
        <v>1040</v>
      </c>
    </row>
    <row r="715" spans="1:3">
      <c r="A715" s="2" t="s">
        <v>920</v>
      </c>
      <c r="B715" s="2" t="s">
        <v>921</v>
      </c>
      <c r="C715" s="2" t="s">
        <v>1040</v>
      </c>
    </row>
    <row r="716" spans="1:3">
      <c r="A716" s="2" t="s">
        <v>922</v>
      </c>
      <c r="B716" s="2" t="s">
        <v>1515</v>
      </c>
      <c r="C716" s="2" t="s">
        <v>1043</v>
      </c>
    </row>
    <row r="717" spans="1:3">
      <c r="A717" s="2" t="s">
        <v>923</v>
      </c>
      <c r="B717" s="2" t="s">
        <v>1516</v>
      </c>
      <c r="C717" s="2" t="s">
        <v>1185</v>
      </c>
    </row>
    <row r="718" spans="1:3">
      <c r="A718" s="2" t="s">
        <v>924</v>
      </c>
      <c r="B718" s="2" t="s">
        <v>1517</v>
      </c>
      <c r="C718" s="2" t="s">
        <v>1050</v>
      </c>
    </row>
    <row r="719" spans="1:3">
      <c r="A719" s="2" t="s">
        <v>925</v>
      </c>
      <c r="B719" s="2" t="s">
        <v>1518</v>
      </c>
      <c r="C719" s="2" t="s">
        <v>1043</v>
      </c>
    </row>
    <row r="720" spans="1:3">
      <c r="A720" s="2" t="s">
        <v>926</v>
      </c>
      <c r="B720" s="2" t="s">
        <v>1517</v>
      </c>
      <c r="C720" s="2" t="s">
        <v>1050</v>
      </c>
    </row>
    <row r="721" spans="1:3">
      <c r="A721" s="2" t="s">
        <v>927</v>
      </c>
      <c r="B721" s="2" t="s">
        <v>1519</v>
      </c>
      <c r="C721" s="2" t="s">
        <v>1043</v>
      </c>
    </row>
    <row r="722" spans="1:3">
      <c r="A722" s="2" t="s">
        <v>928</v>
      </c>
      <c r="B722" s="2" t="s">
        <v>1520</v>
      </c>
      <c r="C722" s="2" t="s">
        <v>1043</v>
      </c>
    </row>
    <row r="723" spans="1:3">
      <c r="A723" s="2" t="s">
        <v>929</v>
      </c>
      <c r="B723" s="2" t="s">
        <v>1521</v>
      </c>
      <c r="C723" s="2" t="s">
        <v>1043</v>
      </c>
    </row>
    <row r="724" spans="1:3">
      <c r="A724" s="2" t="s">
        <v>930</v>
      </c>
      <c r="B724" s="2" t="s">
        <v>1522</v>
      </c>
      <c r="C724" s="2" t="s">
        <v>1043</v>
      </c>
    </row>
    <row r="725" spans="1:3">
      <c r="A725" s="2" t="s">
        <v>931</v>
      </c>
      <c r="B725" s="2" t="s">
        <v>1523</v>
      </c>
      <c r="C725" s="2" t="s">
        <v>1050</v>
      </c>
    </row>
    <row r="726" spans="1:3">
      <c r="A726" s="2" t="s">
        <v>932</v>
      </c>
      <c r="B726" s="2" t="s">
        <v>1524</v>
      </c>
      <c r="C726" s="2" t="s">
        <v>1043</v>
      </c>
    </row>
    <row r="727" spans="1:3">
      <c r="A727" s="2" t="s">
        <v>933</v>
      </c>
      <c r="B727" s="2" t="s">
        <v>1525</v>
      </c>
      <c r="C727" s="2" t="s">
        <v>1043</v>
      </c>
    </row>
    <row r="728" spans="1:3">
      <c r="A728" s="2" t="s">
        <v>934</v>
      </c>
      <c r="B728" s="2" t="s">
        <v>1526</v>
      </c>
      <c r="C728" s="2" t="s">
        <v>1043</v>
      </c>
    </row>
    <row r="729" spans="1:3">
      <c r="A729" s="2" t="s">
        <v>935</v>
      </c>
      <c r="B729" s="2" t="s">
        <v>1045</v>
      </c>
      <c r="C729" s="2" t="s">
        <v>1043</v>
      </c>
    </row>
    <row r="730" spans="1:3">
      <c r="A730" s="2" t="s">
        <v>936</v>
      </c>
      <c r="B730" s="2" t="s">
        <v>1527</v>
      </c>
      <c r="C730" s="2" t="s">
        <v>1043</v>
      </c>
    </row>
    <row r="731" spans="1:3">
      <c r="A731" s="2" t="s">
        <v>937</v>
      </c>
      <c r="B731" s="2" t="s">
        <v>1471</v>
      </c>
      <c r="C731" s="2" t="s">
        <v>1043</v>
      </c>
    </row>
    <row r="732" spans="1:3">
      <c r="A732" s="2" t="s">
        <v>938</v>
      </c>
      <c r="B732" s="2" t="s">
        <v>1470</v>
      </c>
      <c r="C732" s="2" t="s">
        <v>1043</v>
      </c>
    </row>
    <row r="733" spans="1:3">
      <c r="A733" s="2" t="s">
        <v>939</v>
      </c>
      <c r="B733" s="2" t="s">
        <v>1528</v>
      </c>
      <c r="C733" s="2" t="s">
        <v>1043</v>
      </c>
    </row>
    <row r="734" spans="1:3">
      <c r="A734" s="2" t="s">
        <v>940</v>
      </c>
      <c r="B734" s="2" t="s">
        <v>1529</v>
      </c>
      <c r="C734" s="2" t="s">
        <v>1050</v>
      </c>
    </row>
    <row r="735" spans="1:3">
      <c r="A735" s="2" t="s">
        <v>941</v>
      </c>
      <c r="B735" s="2" t="s">
        <v>1530</v>
      </c>
      <c r="C735" s="2" t="s">
        <v>1043</v>
      </c>
    </row>
    <row r="736" spans="1:3">
      <c r="A736" s="2" t="s">
        <v>942</v>
      </c>
      <c r="B736" s="2" t="s">
        <v>1531</v>
      </c>
      <c r="C736" s="2" t="s">
        <v>1050</v>
      </c>
    </row>
    <row r="737" spans="1:3">
      <c r="A737" s="2" t="s">
        <v>943</v>
      </c>
      <c r="B737" s="2" t="s">
        <v>1532</v>
      </c>
      <c r="C737" s="2" t="s">
        <v>1043</v>
      </c>
    </row>
    <row r="738" spans="1:3">
      <c r="A738" s="2" t="s">
        <v>944</v>
      </c>
      <c r="B738" s="2" t="s">
        <v>1533</v>
      </c>
      <c r="C738" s="2" t="s">
        <v>1185</v>
      </c>
    </row>
    <row r="739" spans="1:3">
      <c r="A739" s="2" t="s">
        <v>945</v>
      </c>
      <c r="B739" s="2" t="s">
        <v>1534</v>
      </c>
      <c r="C739" s="2" t="s">
        <v>1043</v>
      </c>
    </row>
    <row r="740" spans="1:3">
      <c r="A740" s="2" t="s">
        <v>946</v>
      </c>
      <c r="B740" s="2" t="s">
        <v>1535</v>
      </c>
      <c r="C740" s="2" t="s">
        <v>1043</v>
      </c>
    </row>
    <row r="741" spans="1:3">
      <c r="A741" s="2" t="s">
        <v>947</v>
      </c>
      <c r="B741" s="2" t="s">
        <v>1536</v>
      </c>
      <c r="C741" s="2" t="s">
        <v>1043</v>
      </c>
    </row>
    <row r="742" spans="1:3">
      <c r="A742" s="2" t="s">
        <v>948</v>
      </c>
      <c r="B742" s="2" t="s">
        <v>1537</v>
      </c>
      <c r="C742" s="2" t="s">
        <v>1185</v>
      </c>
    </row>
    <row r="743" spans="1:3">
      <c r="A743" s="2" t="s">
        <v>949</v>
      </c>
      <c r="B743" s="2" t="s">
        <v>1538</v>
      </c>
      <c r="C743" s="2" t="s">
        <v>1043</v>
      </c>
    </row>
    <row r="744" spans="1:3">
      <c r="A744" s="2" t="s">
        <v>950</v>
      </c>
      <c r="B744" s="2" t="s">
        <v>1539</v>
      </c>
      <c r="C744" s="2" t="s">
        <v>1043</v>
      </c>
    </row>
    <row r="745" spans="1:3">
      <c r="A745" s="2" t="s">
        <v>951</v>
      </c>
      <c r="B745" s="2" t="s">
        <v>1540</v>
      </c>
      <c r="C745" s="2" t="s">
        <v>1043</v>
      </c>
    </row>
    <row r="746" spans="1:3">
      <c r="A746" s="2" t="s">
        <v>952</v>
      </c>
      <c r="B746" s="2" t="s">
        <v>1541</v>
      </c>
      <c r="C746" s="2" t="s">
        <v>1043</v>
      </c>
    </row>
    <row r="747" spans="1:3">
      <c r="A747" s="2" t="s">
        <v>953</v>
      </c>
      <c r="B747" s="2" t="s">
        <v>1542</v>
      </c>
      <c r="C747" s="2" t="s">
        <v>1185</v>
      </c>
    </row>
    <row r="748" spans="1:3">
      <c r="A748" s="2" t="s">
        <v>954</v>
      </c>
      <c r="B748" s="2" t="s">
        <v>1543</v>
      </c>
      <c r="C748" s="2" t="s">
        <v>1043</v>
      </c>
    </row>
    <row r="749" spans="1:3">
      <c r="A749" s="2" t="s">
        <v>955</v>
      </c>
      <c r="B749" s="2" t="s">
        <v>1544</v>
      </c>
      <c r="C749" s="2" t="s">
        <v>1185</v>
      </c>
    </row>
    <row r="750" spans="1:3">
      <c r="A750" s="2" t="s">
        <v>956</v>
      </c>
      <c r="B750" s="2" t="s">
        <v>1545</v>
      </c>
      <c r="C750" s="2" t="s">
        <v>1043</v>
      </c>
    </row>
    <row r="751" spans="1:3">
      <c r="A751" s="2" t="s">
        <v>957</v>
      </c>
      <c r="B751" s="2" t="s">
        <v>1546</v>
      </c>
      <c r="C751" s="2" t="s">
        <v>1043</v>
      </c>
    </row>
    <row r="752" spans="1:3">
      <c r="A752" s="2" t="s">
        <v>958</v>
      </c>
      <c r="B752" s="2" t="s">
        <v>1547</v>
      </c>
      <c r="C752" s="2" t="s">
        <v>1043</v>
      </c>
    </row>
    <row r="753" spans="1:3">
      <c r="A753" s="2" t="s">
        <v>959</v>
      </c>
      <c r="B753" s="2" t="s">
        <v>1548</v>
      </c>
      <c r="C753" s="2" t="s">
        <v>1043</v>
      </c>
    </row>
    <row r="754" spans="1:3">
      <c r="A754" s="2" t="s">
        <v>960</v>
      </c>
      <c r="B754" s="2" t="s">
        <v>1549</v>
      </c>
      <c r="C754" s="2" t="s">
        <v>1040</v>
      </c>
    </row>
    <row r="755" spans="1:3">
      <c r="A755" s="2" t="s">
        <v>961</v>
      </c>
      <c r="B755" s="2" t="s">
        <v>1550</v>
      </c>
      <c r="C755" s="2" t="s">
        <v>1040</v>
      </c>
    </row>
    <row r="756" spans="1:3">
      <c r="A756" s="2" t="s">
        <v>962</v>
      </c>
      <c r="B756" s="2" t="s">
        <v>1551</v>
      </c>
      <c r="C756" s="2" t="s">
        <v>1050</v>
      </c>
    </row>
    <row r="757" spans="1:3">
      <c r="A757" s="2" t="s">
        <v>963</v>
      </c>
      <c r="B757" s="2" t="s">
        <v>1552</v>
      </c>
      <c r="C757" s="2" t="s">
        <v>1040</v>
      </c>
    </row>
    <row r="758" spans="1:3">
      <c r="A758" s="2" t="s">
        <v>964</v>
      </c>
      <c r="B758" s="2" t="s">
        <v>1553</v>
      </c>
      <c r="C758" s="2" t="s">
        <v>1043</v>
      </c>
    </row>
    <row r="759" spans="1:3">
      <c r="A759" s="2" t="s">
        <v>965</v>
      </c>
      <c r="B759" s="2" t="s">
        <v>1554</v>
      </c>
      <c r="C759" s="2" t="s">
        <v>1043</v>
      </c>
    </row>
    <row r="760" spans="1:3">
      <c r="A760" s="2" t="s">
        <v>966</v>
      </c>
      <c r="B760" s="2" t="s">
        <v>1555</v>
      </c>
      <c r="C760" s="2" t="s">
        <v>1243</v>
      </c>
    </row>
    <row r="761" spans="1:3">
      <c r="A761" s="2" t="s">
        <v>967</v>
      </c>
      <c r="B761" s="2" t="s">
        <v>1556</v>
      </c>
      <c r="C761" s="2" t="s">
        <v>1243</v>
      </c>
    </row>
    <row r="762" spans="1:3">
      <c r="A762" s="2" t="s">
        <v>968</v>
      </c>
      <c r="B762" s="2" t="s">
        <v>1557</v>
      </c>
      <c r="C762" s="2" t="s">
        <v>1043</v>
      </c>
    </row>
    <row r="763" spans="1:3">
      <c r="A763" s="2" t="s">
        <v>969</v>
      </c>
      <c r="B763" s="2" t="s">
        <v>1558</v>
      </c>
      <c r="C763" s="2" t="s">
        <v>1043</v>
      </c>
    </row>
    <row r="764" spans="1:3">
      <c r="A764" s="2" t="s">
        <v>970</v>
      </c>
      <c r="B764" s="2" t="s">
        <v>1559</v>
      </c>
      <c r="C764" s="2" t="s">
        <v>1243</v>
      </c>
    </row>
    <row r="765" spans="1:3">
      <c r="A765" s="2" t="s">
        <v>971</v>
      </c>
      <c r="B765" s="2" t="s">
        <v>1560</v>
      </c>
      <c r="C765" s="2" t="s">
        <v>1040</v>
      </c>
    </row>
    <row r="766" spans="1:3">
      <c r="A766" s="2" t="s">
        <v>972</v>
      </c>
      <c r="B766" s="2" t="s">
        <v>1561</v>
      </c>
      <c r="C766" s="2" t="s">
        <v>1040</v>
      </c>
    </row>
    <row r="767" spans="1:3">
      <c r="A767" s="2" t="s">
        <v>973</v>
      </c>
      <c r="B767" s="2" t="s">
        <v>1562</v>
      </c>
      <c r="C767" s="2" t="s">
        <v>1243</v>
      </c>
    </row>
    <row r="768" spans="1:3">
      <c r="A768" s="2" t="s">
        <v>974</v>
      </c>
      <c r="B768" s="2" t="s">
        <v>1563</v>
      </c>
      <c r="C768" s="2" t="s">
        <v>1050</v>
      </c>
    </row>
    <row r="769" spans="1:3">
      <c r="A769" s="2" t="s">
        <v>975</v>
      </c>
      <c r="B769" s="2" t="s">
        <v>1564</v>
      </c>
      <c r="C769" s="2" t="s">
        <v>1043</v>
      </c>
    </row>
    <row r="770" spans="1:3">
      <c r="A770" s="2" t="s">
        <v>976</v>
      </c>
      <c r="B770" s="2" t="s">
        <v>1565</v>
      </c>
      <c r="C770" s="2" t="s">
        <v>1243</v>
      </c>
    </row>
    <row r="771" spans="1:3">
      <c r="A771" s="2" t="s">
        <v>977</v>
      </c>
      <c r="B771" s="2" t="s">
        <v>1566</v>
      </c>
      <c r="C771" s="2" t="s">
        <v>1043</v>
      </c>
    </row>
    <row r="772" spans="1:3">
      <c r="A772" s="2" t="s">
        <v>978</v>
      </c>
      <c r="B772" s="2" t="s">
        <v>1567</v>
      </c>
      <c r="C772" s="2" t="s">
        <v>1040</v>
      </c>
    </row>
    <row r="773" spans="1:3">
      <c r="A773" s="2" t="s">
        <v>979</v>
      </c>
      <c r="B773" s="2" t="s">
        <v>1568</v>
      </c>
      <c r="C773" s="2" t="s">
        <v>1040</v>
      </c>
    </row>
    <row r="774" spans="1:3">
      <c r="A774" s="2" t="s">
        <v>980</v>
      </c>
      <c r="B774" s="2" t="s">
        <v>1569</v>
      </c>
      <c r="C774" s="2" t="s">
        <v>1040</v>
      </c>
    </row>
    <row r="775" spans="1:3">
      <c r="A775" s="2" t="s">
        <v>981</v>
      </c>
      <c r="B775" s="2" t="s">
        <v>1570</v>
      </c>
      <c r="C775" s="2" t="s">
        <v>1040</v>
      </c>
    </row>
    <row r="776" spans="1:3">
      <c r="A776" s="2" t="s">
        <v>982</v>
      </c>
      <c r="B776" s="2" t="s">
        <v>1571</v>
      </c>
      <c r="C776" s="2" t="s">
        <v>1243</v>
      </c>
    </row>
    <row r="777" spans="1:3">
      <c r="A777" s="2" t="s">
        <v>983</v>
      </c>
      <c r="B777" s="2" t="s">
        <v>1572</v>
      </c>
      <c r="C777" s="2" t="s">
        <v>1040</v>
      </c>
    </row>
    <row r="778" spans="1:3">
      <c r="A778" s="2" t="s">
        <v>984</v>
      </c>
      <c r="B778" s="2" t="s">
        <v>1573</v>
      </c>
      <c r="C778" s="2" t="s">
        <v>1043</v>
      </c>
    </row>
    <row r="779" spans="1:3">
      <c r="A779" s="2" t="s">
        <v>985</v>
      </c>
      <c r="B779" s="2" t="s">
        <v>1563</v>
      </c>
      <c r="C779" s="2" t="s">
        <v>1243</v>
      </c>
    </row>
    <row r="780" spans="1:3">
      <c r="A780" s="2" t="s">
        <v>986</v>
      </c>
      <c r="B780" s="2" t="s">
        <v>1574</v>
      </c>
      <c r="C780" s="2" t="s">
        <v>1043</v>
      </c>
    </row>
    <row r="781" spans="1:3">
      <c r="A781" s="2" t="s">
        <v>987</v>
      </c>
      <c r="B781" s="2" t="s">
        <v>1565</v>
      </c>
      <c r="C781" s="2" t="s">
        <v>1243</v>
      </c>
    </row>
    <row r="782" spans="1:3">
      <c r="A782" s="2" t="s">
        <v>988</v>
      </c>
      <c r="B782" s="2" t="s">
        <v>1575</v>
      </c>
      <c r="C782" s="2" t="s">
        <v>1043</v>
      </c>
    </row>
    <row r="783" spans="1:3">
      <c r="A783" s="2" t="s">
        <v>989</v>
      </c>
      <c r="B783" s="2" t="s">
        <v>1576</v>
      </c>
      <c r="C783" s="2" t="s">
        <v>1043</v>
      </c>
    </row>
    <row r="784" spans="1:3">
      <c r="A784" s="2" t="s">
        <v>990</v>
      </c>
      <c r="B784" s="2" t="s">
        <v>1577</v>
      </c>
      <c r="C784" s="2" t="s">
        <v>1050</v>
      </c>
    </row>
    <row r="785" spans="1:3">
      <c r="A785" s="2" t="s">
        <v>991</v>
      </c>
      <c r="B785" s="2" t="s">
        <v>1578</v>
      </c>
      <c r="C785" s="2" t="s">
        <v>1050</v>
      </c>
    </row>
    <row r="786" spans="1:3">
      <c r="A786" s="2" t="s">
        <v>992</v>
      </c>
      <c r="B786" s="2" t="s">
        <v>1306</v>
      </c>
      <c r="C786" s="2" t="s">
        <v>1050</v>
      </c>
    </row>
    <row r="787" spans="1:3">
      <c r="A787" s="2" t="s">
        <v>993</v>
      </c>
      <c r="B787" s="2" t="s">
        <v>1579</v>
      </c>
      <c r="C787" s="2" t="s">
        <v>1050</v>
      </c>
    </row>
    <row r="788" spans="1:3">
      <c r="A788" s="2" t="s">
        <v>994</v>
      </c>
      <c r="B788" s="2" t="s">
        <v>1580</v>
      </c>
      <c r="C788" s="2" t="s">
        <v>1043</v>
      </c>
    </row>
    <row r="789" spans="1:3">
      <c r="A789" s="2" t="s">
        <v>995</v>
      </c>
      <c r="B789" s="2" t="s">
        <v>1581</v>
      </c>
      <c r="C789" s="2" t="s">
        <v>1043</v>
      </c>
    </row>
    <row r="790" spans="1:3">
      <c r="A790" s="2" t="s">
        <v>996</v>
      </c>
      <c r="B790" s="2" t="s">
        <v>1582</v>
      </c>
      <c r="C790" s="2" t="s">
        <v>1043</v>
      </c>
    </row>
    <row r="791" spans="1:3">
      <c r="A791" s="2" t="s">
        <v>997</v>
      </c>
      <c r="B791" s="2" t="s">
        <v>1583</v>
      </c>
      <c r="C791" s="2" t="s">
        <v>1043</v>
      </c>
    </row>
    <row r="792" spans="1:3">
      <c r="A792" s="2" t="s">
        <v>998</v>
      </c>
      <c r="B792" s="2" t="s">
        <v>1584</v>
      </c>
      <c r="C792" s="2" t="s">
        <v>1043</v>
      </c>
    </row>
    <row r="793" spans="1:3">
      <c r="A793" s="2" t="s">
        <v>999</v>
      </c>
      <c r="B793" s="2" t="s">
        <v>1585</v>
      </c>
      <c r="C793" s="2" t="s">
        <v>1043</v>
      </c>
    </row>
    <row r="794" spans="1:3">
      <c r="A794" s="2" t="s">
        <v>1000</v>
      </c>
      <c r="B794" s="2" t="s">
        <v>1586</v>
      </c>
      <c r="C794" s="2" t="s">
        <v>1050</v>
      </c>
    </row>
    <row r="795" spans="1:3">
      <c r="A795" s="2" t="s">
        <v>1001</v>
      </c>
      <c r="B795" s="2" t="s">
        <v>1587</v>
      </c>
      <c r="C795" s="2" t="s">
        <v>1043</v>
      </c>
    </row>
    <row r="796" spans="1:3">
      <c r="A796" s="2" t="s">
        <v>1002</v>
      </c>
      <c r="B796" s="2" t="s">
        <v>1588</v>
      </c>
      <c r="C796" s="2" t="s">
        <v>1043</v>
      </c>
    </row>
    <row r="797" spans="1:3">
      <c r="A797" s="2" t="s">
        <v>1003</v>
      </c>
      <c r="B797" s="2" t="s">
        <v>1045</v>
      </c>
      <c r="C797" s="2" t="s">
        <v>1043</v>
      </c>
    </row>
    <row r="798" spans="1:3">
      <c r="A798" s="2" t="s">
        <v>1004</v>
      </c>
      <c r="B798" s="2" t="s">
        <v>1589</v>
      </c>
      <c r="C798" s="2" t="s">
        <v>1043</v>
      </c>
    </row>
    <row r="799" spans="1:3">
      <c r="A799" s="2" t="s">
        <v>1005</v>
      </c>
      <c r="B799" s="2" t="s">
        <v>1590</v>
      </c>
      <c r="C799" s="2" t="s">
        <v>1043</v>
      </c>
    </row>
    <row r="800" spans="1:3">
      <c r="A800" s="2" t="s">
        <v>1006</v>
      </c>
      <c r="B800" s="2" t="s">
        <v>1591</v>
      </c>
      <c r="C800" s="2" t="s">
        <v>1050</v>
      </c>
    </row>
    <row r="801" spans="1:3">
      <c r="A801" s="2" t="s">
        <v>0</v>
      </c>
      <c r="B801" s="2" t="s">
        <v>1592</v>
      </c>
      <c r="C801" s="2" t="s">
        <v>1043</v>
      </c>
    </row>
    <row r="802" spans="1:3">
      <c r="A802" s="2" t="s">
        <v>1</v>
      </c>
      <c r="B802" s="2" t="s">
        <v>1593</v>
      </c>
      <c r="C802" s="2" t="s">
        <v>1050</v>
      </c>
    </row>
    <row r="803" spans="1:3">
      <c r="A803" s="2" t="s">
        <v>2</v>
      </c>
      <c r="B803" s="2" t="s">
        <v>1594</v>
      </c>
      <c r="C803" s="2" t="s">
        <v>1050</v>
      </c>
    </row>
    <row r="804" spans="1:3">
      <c r="A804" s="2" t="s">
        <v>3</v>
      </c>
      <c r="B804" s="2" t="s">
        <v>1595</v>
      </c>
      <c r="C804" s="2" t="s">
        <v>1050</v>
      </c>
    </row>
    <row r="805" spans="1:3">
      <c r="A805" s="2" t="s">
        <v>4</v>
      </c>
      <c r="B805" s="2" t="s">
        <v>1596</v>
      </c>
      <c r="C805" s="2" t="s">
        <v>1043</v>
      </c>
    </row>
    <row r="806" spans="1:3">
      <c r="A806" s="2" t="s">
        <v>5</v>
      </c>
      <c r="B806" s="2" t="s">
        <v>1377</v>
      </c>
      <c r="C806" s="2" t="s">
        <v>1050</v>
      </c>
    </row>
    <row r="807" spans="1:3">
      <c r="A807" s="2" t="s">
        <v>6</v>
      </c>
      <c r="B807" s="2" t="s">
        <v>1045</v>
      </c>
      <c r="C807" s="2" t="s">
        <v>1043</v>
      </c>
    </row>
    <row r="808" spans="1:3">
      <c r="A808" s="2" t="s">
        <v>7</v>
      </c>
      <c r="B808" s="2" t="s">
        <v>1597</v>
      </c>
      <c r="C808" s="2" t="s">
        <v>1243</v>
      </c>
    </row>
    <row r="809" spans="1:3">
      <c r="A809" s="2" t="s">
        <v>8</v>
      </c>
      <c r="B809" s="2" t="s">
        <v>1598</v>
      </c>
      <c r="C809" s="2" t="s">
        <v>1243</v>
      </c>
    </row>
    <row r="810" spans="1:3">
      <c r="A810" s="2" t="s">
        <v>9</v>
      </c>
      <c r="B810" s="2" t="s">
        <v>1599</v>
      </c>
      <c r="C810" s="2" t="s">
        <v>1243</v>
      </c>
    </row>
    <row r="811" spans="1:3">
      <c r="A811" s="2" t="s">
        <v>10</v>
      </c>
      <c r="B811" s="2" t="s">
        <v>1600</v>
      </c>
      <c r="C811" s="2" t="s">
        <v>1243</v>
      </c>
    </row>
    <row r="812" spans="1:3">
      <c r="A812" s="2" t="s">
        <v>11</v>
      </c>
      <c r="B812" s="2" t="s">
        <v>1601</v>
      </c>
      <c r="C812" s="2" t="s">
        <v>1382</v>
      </c>
    </row>
    <row r="813" spans="1:3">
      <c r="A813" s="2" t="s">
        <v>12</v>
      </c>
      <c r="B813" s="2" t="s">
        <v>1602</v>
      </c>
      <c r="C813" s="2" t="s">
        <v>1043</v>
      </c>
    </row>
    <row r="814" spans="1:3">
      <c r="A814" s="2" t="s">
        <v>13</v>
      </c>
      <c r="B814" s="2" t="s">
        <v>1603</v>
      </c>
      <c r="C814" s="2" t="s">
        <v>1382</v>
      </c>
    </row>
    <row r="815" spans="1:3">
      <c r="A815" s="2" t="s">
        <v>14</v>
      </c>
      <c r="B815" s="2" t="s">
        <v>1604</v>
      </c>
      <c r="C815" s="2" t="s">
        <v>1043</v>
      </c>
    </row>
    <row r="816" spans="1:3">
      <c r="A816" s="2" t="s">
        <v>15</v>
      </c>
      <c r="B816" s="2" t="s">
        <v>1605</v>
      </c>
      <c r="C816" s="2" t="s">
        <v>1185</v>
      </c>
    </row>
    <row r="817" spans="1:3">
      <c r="A817" s="2" t="s">
        <v>16</v>
      </c>
      <c r="B817" s="2" t="s">
        <v>1606</v>
      </c>
      <c r="C817" s="2" t="s">
        <v>1043</v>
      </c>
    </row>
    <row r="818" spans="1:3">
      <c r="A818" s="2" t="s">
        <v>17</v>
      </c>
      <c r="B818" s="2" t="s">
        <v>1607</v>
      </c>
      <c r="C818" s="2" t="s">
        <v>1185</v>
      </c>
    </row>
    <row r="819" spans="1:3">
      <c r="A819" s="2" t="s">
        <v>18</v>
      </c>
      <c r="B819" s="2" t="s">
        <v>1045</v>
      </c>
      <c r="C819" s="2" t="s">
        <v>1185</v>
      </c>
    </row>
    <row r="820" spans="1:3">
      <c r="A820" s="2" t="s">
        <v>19</v>
      </c>
      <c r="B820" s="2" t="s">
        <v>1608</v>
      </c>
      <c r="C820" s="2" t="s">
        <v>1382</v>
      </c>
    </row>
    <row r="821" spans="1:3">
      <c r="A821" s="2" t="s">
        <v>20</v>
      </c>
      <c r="B821" s="2" t="s">
        <v>1609</v>
      </c>
      <c r="C821" s="2" t="s">
        <v>1043</v>
      </c>
    </row>
    <row r="822" spans="1:3">
      <c r="A822" s="2" t="s">
        <v>21</v>
      </c>
      <c r="B822" s="2" t="s">
        <v>1610</v>
      </c>
      <c r="C822" s="2" t="s">
        <v>1243</v>
      </c>
    </row>
    <row r="823" spans="1:3">
      <c r="A823" s="2" t="s">
        <v>22</v>
      </c>
      <c r="B823" s="2" t="s">
        <v>1611</v>
      </c>
      <c r="C823" s="2" t="s">
        <v>1043</v>
      </c>
    </row>
    <row r="824" spans="1:3">
      <c r="A824" s="2" t="s">
        <v>23</v>
      </c>
      <c r="B824" s="2" t="s">
        <v>1045</v>
      </c>
      <c r="C824" s="2" t="s">
        <v>1043</v>
      </c>
    </row>
    <row r="825" spans="1:3">
      <c r="A825" s="2" t="s">
        <v>24</v>
      </c>
      <c r="B825" s="2" t="s">
        <v>1612</v>
      </c>
      <c r="C825" s="2" t="s">
        <v>1043</v>
      </c>
    </row>
    <row r="826" spans="1:3">
      <c r="A826" s="2" t="s">
        <v>25</v>
      </c>
      <c r="B826" s="2" t="s">
        <v>1613</v>
      </c>
      <c r="C826" s="2" t="s">
        <v>1185</v>
      </c>
    </row>
    <row r="827" spans="1:3">
      <c r="A827" s="2" t="s">
        <v>26</v>
      </c>
      <c r="B827" s="2" t="s">
        <v>1614</v>
      </c>
      <c r="C827" s="2" t="s">
        <v>1615</v>
      </c>
    </row>
    <row r="828" spans="1:3">
      <c r="A828" s="2" t="s">
        <v>27</v>
      </c>
      <c r="B828" s="2" t="s">
        <v>1376</v>
      </c>
      <c r="C828" s="2" t="s">
        <v>1050</v>
      </c>
    </row>
    <row r="829" spans="1:3">
      <c r="A829" s="2" t="s">
        <v>28</v>
      </c>
      <c r="B829" s="2" t="s">
        <v>1616</v>
      </c>
      <c r="C829" s="2" t="s">
        <v>1050</v>
      </c>
    </row>
    <row r="830" spans="1:3">
      <c r="A830" s="2" t="s">
        <v>29</v>
      </c>
      <c r="B830" s="2" t="s">
        <v>1617</v>
      </c>
      <c r="C830" s="2" t="s">
        <v>1050</v>
      </c>
    </row>
    <row r="831" spans="1:3">
      <c r="A831" s="2" t="s">
        <v>30</v>
      </c>
      <c r="B831" s="2" t="s">
        <v>1618</v>
      </c>
      <c r="C831" s="2" t="s">
        <v>1043</v>
      </c>
    </row>
    <row r="832" spans="1:3">
      <c r="A832" s="2" t="s">
        <v>31</v>
      </c>
      <c r="B832" s="2" t="s">
        <v>1619</v>
      </c>
      <c r="C832" s="2" t="s">
        <v>1491</v>
      </c>
    </row>
    <row r="833" spans="1:3">
      <c r="A833" s="2" t="s">
        <v>32</v>
      </c>
      <c r="B833" s="2" t="s">
        <v>1620</v>
      </c>
      <c r="C833" s="2" t="s">
        <v>1050</v>
      </c>
    </row>
    <row r="834" spans="1:3">
      <c r="A834" s="2" t="s">
        <v>33</v>
      </c>
      <c r="B834" s="2" t="s">
        <v>1621</v>
      </c>
      <c r="C834" s="2" t="s">
        <v>1043</v>
      </c>
    </row>
    <row r="835" spans="1:3">
      <c r="A835" s="2" t="s">
        <v>34</v>
      </c>
      <c r="B835" s="2" t="s">
        <v>1622</v>
      </c>
      <c r="C835" s="2" t="s">
        <v>1050</v>
      </c>
    </row>
    <row r="836" spans="1:3">
      <c r="A836" s="2" t="s">
        <v>35</v>
      </c>
      <c r="B836" s="2" t="s">
        <v>1623</v>
      </c>
      <c r="C836" s="2" t="s">
        <v>1043</v>
      </c>
    </row>
    <row r="837" spans="1:3">
      <c r="A837" s="2" t="s">
        <v>36</v>
      </c>
      <c r="B837" s="2" t="s">
        <v>1045</v>
      </c>
      <c r="C837" s="2" t="s">
        <v>1043</v>
      </c>
    </row>
    <row r="838" spans="1:3">
      <c r="A838" s="2" t="s">
        <v>37</v>
      </c>
      <c r="B838" s="2" t="s">
        <v>1624</v>
      </c>
      <c r="C838" s="2" t="s">
        <v>1043</v>
      </c>
    </row>
    <row r="839" spans="1:3">
      <c r="A839" s="2" t="s">
        <v>38</v>
      </c>
      <c r="B839" s="2" t="s">
        <v>1625</v>
      </c>
      <c r="C839" s="2" t="s">
        <v>1043</v>
      </c>
    </row>
    <row r="840" spans="1:3">
      <c r="A840" s="2" t="s">
        <v>39</v>
      </c>
      <c r="B840" s="2" t="s">
        <v>1626</v>
      </c>
      <c r="C840" s="2" t="s">
        <v>1043</v>
      </c>
    </row>
    <row r="841" spans="1:3">
      <c r="A841" s="2" t="s">
        <v>40</v>
      </c>
      <c r="B841" s="2" t="s">
        <v>1627</v>
      </c>
      <c r="C841" s="2" t="s">
        <v>1043</v>
      </c>
    </row>
    <row r="842" spans="1:3">
      <c r="A842" s="2" t="s">
        <v>41</v>
      </c>
      <c r="B842" s="2" t="s">
        <v>1376</v>
      </c>
      <c r="C842" s="2" t="s">
        <v>1043</v>
      </c>
    </row>
    <row r="843" spans="1:3">
      <c r="A843" s="2" t="s">
        <v>42</v>
      </c>
      <c r="B843" s="2" t="s">
        <v>1616</v>
      </c>
      <c r="C843" s="2" t="s">
        <v>1043</v>
      </c>
    </row>
    <row r="844" spans="1:3">
      <c r="A844" s="2" t="s">
        <v>43</v>
      </c>
      <c r="B844" s="2" t="s">
        <v>1045</v>
      </c>
      <c r="C844" s="2" t="s">
        <v>1043</v>
      </c>
    </row>
    <row r="845" spans="1:3">
      <c r="A845" s="2" t="s">
        <v>44</v>
      </c>
      <c r="B845" s="2" t="s">
        <v>1628</v>
      </c>
      <c r="C845" s="2" t="s">
        <v>1043</v>
      </c>
    </row>
    <row r="846" spans="1:3">
      <c r="A846" s="2" t="s">
        <v>45</v>
      </c>
      <c r="B846" s="2" t="s">
        <v>1629</v>
      </c>
      <c r="C846" s="2" t="s">
        <v>1043</v>
      </c>
    </row>
    <row r="847" spans="1:3">
      <c r="A847" s="2" t="s">
        <v>46</v>
      </c>
      <c r="B847" s="2" t="s">
        <v>1630</v>
      </c>
      <c r="C847" s="2" t="s">
        <v>1043</v>
      </c>
    </row>
    <row r="848" spans="1:3">
      <c r="A848" s="2" t="s">
        <v>47</v>
      </c>
      <c r="B848" s="2" t="s">
        <v>1631</v>
      </c>
      <c r="C848" s="2" t="s">
        <v>1185</v>
      </c>
    </row>
    <row r="849" spans="1:3">
      <c r="A849" s="2" t="s">
        <v>48</v>
      </c>
      <c r="B849" s="2" t="s">
        <v>1632</v>
      </c>
      <c r="C849" s="2" t="s">
        <v>1185</v>
      </c>
    </row>
    <row r="850" spans="1:3">
      <c r="A850" s="2" t="s">
        <v>49</v>
      </c>
      <c r="B850" s="2" t="s">
        <v>1633</v>
      </c>
      <c r="C850" s="2" t="s">
        <v>1043</v>
      </c>
    </row>
    <row r="851" spans="1:3">
      <c r="A851" s="2" t="s">
        <v>50</v>
      </c>
      <c r="B851" s="2" t="s">
        <v>1634</v>
      </c>
      <c r="C851" s="2" t="s">
        <v>1043</v>
      </c>
    </row>
    <row r="852" spans="1:3">
      <c r="A852" s="2" t="s">
        <v>51</v>
      </c>
      <c r="B852" s="2" t="s">
        <v>1126</v>
      </c>
      <c r="C852" s="2" t="s">
        <v>1050</v>
      </c>
    </row>
    <row r="853" spans="1:3">
      <c r="A853" s="2" t="s">
        <v>52</v>
      </c>
      <c r="B853" s="2" t="s">
        <v>1635</v>
      </c>
      <c r="C853" s="2" t="s">
        <v>1050</v>
      </c>
    </row>
    <row r="854" spans="1:3">
      <c r="A854" s="2" t="s">
        <v>53</v>
      </c>
      <c r="B854" s="2" t="s">
        <v>1636</v>
      </c>
      <c r="C854" s="2" t="s">
        <v>1050</v>
      </c>
    </row>
    <row r="855" spans="1:3">
      <c r="A855" s="2" t="s">
        <v>54</v>
      </c>
      <c r="B855" s="2" t="s">
        <v>1128</v>
      </c>
      <c r="C855" s="2" t="s">
        <v>1050</v>
      </c>
    </row>
    <row r="856" spans="1:3">
      <c r="A856" s="2" t="s">
        <v>55</v>
      </c>
      <c r="B856" s="2" t="s">
        <v>1637</v>
      </c>
      <c r="C856" s="2" t="s">
        <v>1050</v>
      </c>
    </row>
    <row r="857" spans="1:3">
      <c r="A857" s="2" t="s">
        <v>56</v>
      </c>
      <c r="B857" s="2" t="s">
        <v>1638</v>
      </c>
      <c r="C857" s="2" t="s">
        <v>1050</v>
      </c>
    </row>
    <row r="858" spans="1:3">
      <c r="A858" s="2" t="s">
        <v>57</v>
      </c>
      <c r="B858" s="2" t="s">
        <v>1045</v>
      </c>
      <c r="C858" s="2" t="s">
        <v>1050</v>
      </c>
    </row>
    <row r="859" spans="1:3">
      <c r="A859" s="2" t="s">
        <v>58</v>
      </c>
      <c r="B859" s="2" t="s">
        <v>1639</v>
      </c>
      <c r="C859" s="2" t="s">
        <v>1185</v>
      </c>
    </row>
    <row r="860" spans="1:3">
      <c r="A860" s="2" t="s">
        <v>59</v>
      </c>
      <c r="B860" s="2" t="s">
        <v>1468</v>
      </c>
      <c r="C860" s="2" t="s">
        <v>1185</v>
      </c>
    </row>
    <row r="861" spans="1:3">
      <c r="A861" s="2" t="s">
        <v>60</v>
      </c>
      <c r="B861" s="2" t="s">
        <v>1469</v>
      </c>
      <c r="C861" s="2" t="s">
        <v>1185</v>
      </c>
    </row>
    <row r="862" spans="1:3">
      <c r="A862" s="2" t="s">
        <v>61</v>
      </c>
      <c r="B862" s="2" t="s">
        <v>1640</v>
      </c>
      <c r="C862" s="2" t="s">
        <v>1185</v>
      </c>
    </row>
    <row r="863" spans="1:3">
      <c r="A863" s="2" t="s">
        <v>62</v>
      </c>
      <c r="B863" s="2" t="s">
        <v>1471</v>
      </c>
      <c r="C863" s="2" t="s">
        <v>1185</v>
      </c>
    </row>
    <row r="864" spans="1:3">
      <c r="A864" s="2" t="s">
        <v>63</v>
      </c>
      <c r="B864" s="2" t="s">
        <v>1641</v>
      </c>
      <c r="C864" s="2" t="s">
        <v>1185</v>
      </c>
    </row>
    <row r="865" spans="1:3">
      <c r="A865" s="2" t="s">
        <v>64</v>
      </c>
      <c r="B865" s="2" t="s">
        <v>1642</v>
      </c>
      <c r="C865" s="2" t="s">
        <v>1185</v>
      </c>
    </row>
    <row r="866" spans="1:3">
      <c r="A866" s="2" t="s">
        <v>65</v>
      </c>
      <c r="B866" s="2" t="s">
        <v>1643</v>
      </c>
      <c r="C866" s="2" t="s">
        <v>1185</v>
      </c>
    </row>
    <row r="867" spans="1:3">
      <c r="A867" s="2" t="s">
        <v>66</v>
      </c>
      <c r="B867" s="2" t="s">
        <v>1644</v>
      </c>
      <c r="C867" s="2" t="s">
        <v>1185</v>
      </c>
    </row>
    <row r="868" spans="1:3">
      <c r="A868" s="2" t="s">
        <v>67</v>
      </c>
      <c r="B868" s="2" t="s">
        <v>1645</v>
      </c>
      <c r="C868" s="2" t="s">
        <v>1185</v>
      </c>
    </row>
    <row r="869" spans="1:3">
      <c r="A869" s="2" t="s">
        <v>68</v>
      </c>
      <c r="B869" s="2" t="s">
        <v>1646</v>
      </c>
      <c r="C869" s="2" t="s">
        <v>1491</v>
      </c>
    </row>
    <row r="870" spans="1:3">
      <c r="A870" s="2" t="s">
        <v>69</v>
      </c>
      <c r="B870" s="2" t="s">
        <v>1647</v>
      </c>
      <c r="C870" s="2" t="s">
        <v>1648</v>
      </c>
    </row>
    <row r="871" spans="1:3">
      <c r="A871" s="2" t="s">
        <v>70</v>
      </c>
      <c r="B871" s="2" t="s">
        <v>1649</v>
      </c>
      <c r="C871" s="2" t="s">
        <v>1043</v>
      </c>
    </row>
    <row r="872" spans="1:3">
      <c r="A872" s="2" t="s">
        <v>71</v>
      </c>
      <c r="B872" s="2" t="s">
        <v>1650</v>
      </c>
      <c r="C872" s="2" t="s">
        <v>1043</v>
      </c>
    </row>
    <row r="873" spans="1:3">
      <c r="A873" s="2" t="s">
        <v>72</v>
      </c>
      <c r="B873" s="2" t="s">
        <v>1651</v>
      </c>
      <c r="C873" s="2" t="s">
        <v>1050</v>
      </c>
    </row>
    <row r="874" spans="1:3">
      <c r="A874" s="2" t="s">
        <v>73</v>
      </c>
      <c r="B874" s="2" t="s">
        <v>1652</v>
      </c>
      <c r="C874" s="2" t="s">
        <v>1043</v>
      </c>
    </row>
    <row r="875" spans="1:3">
      <c r="A875" s="2" t="s">
        <v>74</v>
      </c>
      <c r="B875" s="2" t="s">
        <v>1653</v>
      </c>
      <c r="C875" s="2" t="s">
        <v>1050</v>
      </c>
    </row>
    <row r="876" spans="1:3">
      <c r="A876" s="2" t="s">
        <v>75</v>
      </c>
      <c r="B876" s="2" t="s">
        <v>1654</v>
      </c>
      <c r="C876" s="2" t="s">
        <v>1043</v>
      </c>
    </row>
    <row r="877" spans="1:3">
      <c r="A877" s="2" t="s">
        <v>76</v>
      </c>
      <c r="B877" s="2" t="s">
        <v>1655</v>
      </c>
      <c r="C877" s="2" t="s">
        <v>1050</v>
      </c>
    </row>
    <row r="878" spans="1:3">
      <c r="A878" s="2" t="s">
        <v>77</v>
      </c>
      <c r="B878" s="2" t="s">
        <v>1656</v>
      </c>
      <c r="C878" s="2" t="s">
        <v>1043</v>
      </c>
    </row>
    <row r="879" spans="1:3">
      <c r="A879" s="2" t="s">
        <v>78</v>
      </c>
      <c r="B879" s="2" t="s">
        <v>1657</v>
      </c>
      <c r="C879" s="2" t="s">
        <v>1040</v>
      </c>
    </row>
    <row r="880" spans="1:3">
      <c r="A880" s="2" t="s">
        <v>79</v>
      </c>
      <c r="B880" s="2" t="s">
        <v>1639</v>
      </c>
      <c r="C880" s="2" t="s">
        <v>1043</v>
      </c>
    </row>
    <row r="881" spans="1:3">
      <c r="A881" s="2" t="s">
        <v>80</v>
      </c>
      <c r="B881" s="2" t="s">
        <v>1471</v>
      </c>
      <c r="C881" s="2" t="s">
        <v>1043</v>
      </c>
    </row>
    <row r="882" spans="1:3">
      <c r="A882" s="2" t="s">
        <v>81</v>
      </c>
      <c r="B882" s="2" t="s">
        <v>1658</v>
      </c>
      <c r="C882" s="2" t="s">
        <v>1043</v>
      </c>
    </row>
    <row r="883" spans="1:3">
      <c r="A883" s="2" t="s">
        <v>82</v>
      </c>
      <c r="B883" s="2" t="s">
        <v>1659</v>
      </c>
      <c r="C883" s="2" t="s">
        <v>1043</v>
      </c>
    </row>
    <row r="884" spans="1:3">
      <c r="A884" s="2" t="s">
        <v>83</v>
      </c>
      <c r="B884" s="2" t="s">
        <v>1643</v>
      </c>
      <c r="C884" s="2" t="s">
        <v>1043</v>
      </c>
    </row>
    <row r="885" spans="1:3">
      <c r="A885" s="2" t="s">
        <v>84</v>
      </c>
      <c r="B885" s="2" t="s">
        <v>1660</v>
      </c>
      <c r="C885" s="2" t="s">
        <v>1050</v>
      </c>
    </row>
    <row r="886" spans="1:3">
      <c r="A886" s="2" t="s">
        <v>85</v>
      </c>
      <c r="B886" s="2" t="s">
        <v>1661</v>
      </c>
      <c r="C886" s="2" t="s">
        <v>1050</v>
      </c>
    </row>
    <row r="887" spans="1:3">
      <c r="A887" s="2" t="s">
        <v>86</v>
      </c>
      <c r="B887" s="2" t="s">
        <v>1662</v>
      </c>
      <c r="C887" s="2" t="s">
        <v>1050</v>
      </c>
    </row>
    <row r="888" spans="1:3">
      <c r="A888" s="2" t="s">
        <v>87</v>
      </c>
      <c r="B888" s="2" t="s">
        <v>1663</v>
      </c>
      <c r="C888" s="2" t="s">
        <v>1050</v>
      </c>
    </row>
    <row r="889" spans="1:3">
      <c r="A889" s="2" t="s">
        <v>88</v>
      </c>
      <c r="B889" s="2" t="s">
        <v>1664</v>
      </c>
      <c r="C889" s="2" t="s">
        <v>1050</v>
      </c>
    </row>
    <row r="890" spans="1:3">
      <c r="A890" s="2" t="s">
        <v>89</v>
      </c>
      <c r="B890" s="2" t="s">
        <v>1665</v>
      </c>
      <c r="C890" s="2" t="s">
        <v>1243</v>
      </c>
    </row>
    <row r="891" spans="1:3">
      <c r="A891" s="2" t="s">
        <v>90</v>
      </c>
      <c r="B891" s="2" t="s">
        <v>1666</v>
      </c>
      <c r="C891" s="2" t="s">
        <v>1243</v>
      </c>
    </row>
    <row r="892" spans="1:3">
      <c r="A892" s="2" t="s">
        <v>91</v>
      </c>
      <c r="B892" s="2" t="s">
        <v>1667</v>
      </c>
      <c r="C892" s="2" t="s">
        <v>1043</v>
      </c>
    </row>
    <row r="893" spans="1:3">
      <c r="A893" s="2" t="s">
        <v>92</v>
      </c>
      <c r="B893" s="2" t="s">
        <v>1668</v>
      </c>
      <c r="C893" s="2" t="s">
        <v>1050</v>
      </c>
    </row>
    <row r="894" spans="1:3">
      <c r="A894" s="2" t="s">
        <v>93</v>
      </c>
      <c r="B894" s="2" t="s">
        <v>1669</v>
      </c>
      <c r="C894" s="2" t="s">
        <v>1043</v>
      </c>
    </row>
    <row r="895" spans="1:3">
      <c r="A895" s="2" t="s">
        <v>94</v>
      </c>
      <c r="B895" s="2" t="s">
        <v>1670</v>
      </c>
      <c r="C895" s="2" t="s">
        <v>1043</v>
      </c>
    </row>
    <row r="896" spans="1:3">
      <c r="A896" s="2" t="s">
        <v>95</v>
      </c>
      <c r="B896" s="2" t="s">
        <v>1671</v>
      </c>
      <c r="C896" s="2" t="s">
        <v>1043</v>
      </c>
    </row>
    <row r="897" spans="1:3">
      <c r="A897" s="2" t="s">
        <v>96</v>
      </c>
      <c r="B897" s="2" t="s">
        <v>1672</v>
      </c>
      <c r="C897" s="2" t="s">
        <v>1043</v>
      </c>
    </row>
    <row r="898" spans="1:3">
      <c r="A898" s="2" t="s">
        <v>97</v>
      </c>
      <c r="B898" s="2" t="s">
        <v>1565</v>
      </c>
      <c r="C898" s="2" t="s">
        <v>1243</v>
      </c>
    </row>
    <row r="899" spans="1:3">
      <c r="A899" s="2" t="s">
        <v>98</v>
      </c>
      <c r="B899" s="2" t="s">
        <v>1673</v>
      </c>
      <c r="C899" s="2" t="s">
        <v>1043</v>
      </c>
    </row>
    <row r="900" spans="1:3">
      <c r="A900" s="2" t="s">
        <v>99</v>
      </c>
      <c r="B900" s="2" t="s">
        <v>1674</v>
      </c>
      <c r="C900" s="2" t="s">
        <v>1243</v>
      </c>
    </row>
    <row r="901" spans="1:3">
      <c r="A901" s="2" t="s">
        <v>100</v>
      </c>
      <c r="B901" s="2" t="s">
        <v>1675</v>
      </c>
      <c r="C901" s="2" t="s">
        <v>1243</v>
      </c>
    </row>
    <row r="902" spans="1:3">
      <c r="A902" s="2" t="s">
        <v>101</v>
      </c>
      <c r="B902" s="2" t="s">
        <v>1676</v>
      </c>
      <c r="C902" s="2" t="s">
        <v>1243</v>
      </c>
    </row>
    <row r="903" spans="1:3">
      <c r="A903" s="2" t="s">
        <v>102</v>
      </c>
      <c r="B903" s="2" t="s">
        <v>1677</v>
      </c>
      <c r="C903" s="2" t="s">
        <v>1243</v>
      </c>
    </row>
    <row r="904" spans="1:3">
      <c r="A904" s="2" t="s">
        <v>103</v>
      </c>
      <c r="B904" s="2" t="s">
        <v>1641</v>
      </c>
      <c r="C904" s="2" t="s">
        <v>1043</v>
      </c>
    </row>
    <row r="905" spans="1:3">
      <c r="A905" s="2" t="s">
        <v>104</v>
      </c>
      <c r="B905" s="2" t="s">
        <v>1678</v>
      </c>
      <c r="C905" s="2" t="s">
        <v>1043</v>
      </c>
    </row>
    <row r="906" spans="1:3">
      <c r="A906" s="2" t="s">
        <v>105</v>
      </c>
      <c r="B906" s="2" t="s">
        <v>1470</v>
      </c>
      <c r="C906" s="2" t="s">
        <v>1043</v>
      </c>
    </row>
    <row r="907" spans="1:3">
      <c r="A907" s="2" t="s">
        <v>106</v>
      </c>
      <c r="B907" s="2" t="s">
        <v>1679</v>
      </c>
      <c r="C907" s="2" t="s">
        <v>1043</v>
      </c>
    </row>
    <row r="908" spans="1:3">
      <c r="A908" s="2" t="s">
        <v>107</v>
      </c>
      <c r="B908" s="2" t="s">
        <v>1680</v>
      </c>
      <c r="C908" s="2" t="s">
        <v>1043</v>
      </c>
    </row>
    <row r="909" spans="1:3">
      <c r="A909" s="2" t="s">
        <v>108</v>
      </c>
      <c r="B909" s="2" t="s">
        <v>1681</v>
      </c>
      <c r="C909" s="2" t="s">
        <v>1043</v>
      </c>
    </row>
    <row r="910" spans="1:3">
      <c r="A910" s="2" t="s">
        <v>109</v>
      </c>
      <c r="B910" s="2" t="s">
        <v>1682</v>
      </c>
      <c r="C910" s="2" t="s">
        <v>1043</v>
      </c>
    </row>
    <row r="911" spans="1:3">
      <c r="A911" s="2" t="s">
        <v>110</v>
      </c>
      <c r="B911" s="2" t="s">
        <v>1683</v>
      </c>
      <c r="C911" s="2" t="s">
        <v>1043</v>
      </c>
    </row>
    <row r="912" spans="1:3">
      <c r="A912" s="2" t="s">
        <v>111</v>
      </c>
      <c r="B912" s="2" t="s">
        <v>1684</v>
      </c>
      <c r="C912" s="2" t="s">
        <v>1043</v>
      </c>
    </row>
    <row r="913" spans="1:3">
      <c r="A913" s="2" t="s">
        <v>112</v>
      </c>
      <c r="B913" s="2" t="s">
        <v>1685</v>
      </c>
      <c r="C913" s="2" t="s">
        <v>1043</v>
      </c>
    </row>
    <row r="914" spans="1:3">
      <c r="A914" s="2" t="s">
        <v>113</v>
      </c>
      <c r="B914" s="2" t="s">
        <v>1686</v>
      </c>
      <c r="C914" s="2" t="s">
        <v>1615</v>
      </c>
    </row>
    <row r="915" spans="1:3">
      <c r="A915" s="2" t="s">
        <v>114</v>
      </c>
      <c r="B915" s="2" t="s">
        <v>1687</v>
      </c>
      <c r="C915" s="2" t="s">
        <v>1043</v>
      </c>
    </row>
    <row r="916" spans="1:3">
      <c r="A916" s="2" t="s">
        <v>115</v>
      </c>
      <c r="B916" s="2" t="s">
        <v>1688</v>
      </c>
      <c r="C916" s="2" t="s">
        <v>1043</v>
      </c>
    </row>
    <row r="917" spans="1:3">
      <c r="A917" s="2" t="s">
        <v>116</v>
      </c>
      <c r="B917" s="2" t="s">
        <v>1689</v>
      </c>
      <c r="C917" s="2" t="s">
        <v>1615</v>
      </c>
    </row>
    <row r="918" spans="1:3">
      <c r="A918" s="2" t="s">
        <v>117</v>
      </c>
      <c r="B918" s="2" t="s">
        <v>1690</v>
      </c>
      <c r="C918" s="2" t="s">
        <v>1615</v>
      </c>
    </row>
    <row r="919" spans="1:3">
      <c r="A919" s="2" t="s">
        <v>118</v>
      </c>
      <c r="B919" s="2" t="s">
        <v>1691</v>
      </c>
      <c r="C919" s="2" t="s">
        <v>1043</v>
      </c>
    </row>
    <row r="920" spans="1:3">
      <c r="A920" s="2" t="s">
        <v>119</v>
      </c>
      <c r="B920" s="2" t="s">
        <v>1692</v>
      </c>
      <c r="C920" s="2" t="s">
        <v>1043</v>
      </c>
    </row>
  </sheetData>
  <dataValidations count="1">
    <dataValidation type="textLength" operator="equal" allowBlank="1" showInputMessage="1" showErrorMessage="1" sqref="A1">
      <formula1>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1885513-0CEA-479F-82DD-5DFD3C26B3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68</vt:i4>
      </vt:variant>
    </vt:vector>
  </HeadingPairs>
  <TitlesOfParts>
    <vt:vector size="75" baseType="lpstr">
      <vt:lpstr>Tabela informacyjna</vt:lpstr>
      <vt:lpstr>KSO_odpady</vt:lpstr>
      <vt:lpstr>Obsługa_sprzęt</vt:lpstr>
      <vt:lpstr>Obsługa_ludzie</vt:lpstr>
      <vt:lpstr>Podsumowanie na rok</vt:lpstr>
      <vt:lpstr>Podsumowanie na konrakt</vt:lpstr>
      <vt:lpstr>Cennik do oferty</vt:lpstr>
      <vt:lpstr>AFF</vt:lpstr>
      <vt:lpstr>AFSA</vt:lpstr>
      <vt:lpstr>ATAA</vt:lpstr>
      <vt:lpstr>BAS</vt:lpstr>
      <vt:lpstr>BR</vt:lpstr>
      <vt:lpstr>CAAPHARSA</vt:lpstr>
      <vt:lpstr>CAD</vt:lpstr>
      <vt:lpstr>CAP</vt:lpstr>
      <vt:lpstr>CDM</vt:lpstr>
      <vt:lpstr>Cena</vt:lpstr>
      <vt:lpstr>czass</vt:lpstr>
      <vt:lpstr>DACSS</vt:lpstr>
      <vt:lpstr>DAIRY</vt:lpstr>
      <vt:lpstr>DOWNSTREAM</vt:lpstr>
      <vt:lpstr>EAEP</vt:lpstr>
      <vt:lpstr>EPBRS</vt:lpstr>
      <vt:lpstr>ES</vt:lpstr>
      <vt:lpstr>FAB</vt:lpstr>
      <vt:lpstr>FAV</vt:lpstr>
      <vt:lpstr>FSAFC</vt:lpstr>
      <vt:lpstr>HAAC</vt:lpstr>
      <vt:lpstr>handl_</vt:lpstr>
      <vt:lpstr>HASWA</vt:lpstr>
      <vt:lpstr>HOSPITALS</vt:lpstr>
      <vt:lpstr>IBC</vt:lpstr>
      <vt:lpstr>INDUSTRY</vt:lpstr>
      <vt:lpstr>Kody_odpadów!kododp</vt:lpstr>
      <vt:lpstr>Kody_odpadów!Kody</vt:lpstr>
      <vt:lpstr>Kody_odpadów</vt:lpstr>
      <vt:lpstr>MAQ</vt:lpstr>
      <vt:lpstr>Market</vt:lpstr>
      <vt:lpstr>MATERIALS</vt:lpstr>
      <vt:lpstr>MEAT</vt:lpstr>
      <vt:lpstr>METALLURGY</vt:lpstr>
      <vt:lpstr>MOCCEAOP</vt:lpstr>
      <vt:lpstr>MOCEAOP</vt:lpstr>
      <vt:lpstr>OAS</vt:lpstr>
      <vt:lpstr>OBCAP</vt:lpstr>
      <vt:lpstr>Obsługa_ludzie!Obsługa</vt:lpstr>
      <vt:lpstr>Obsługa_sprzęt!Obsługa</vt:lpstr>
      <vt:lpstr>OM</vt:lpstr>
      <vt:lpstr>OPAC</vt:lpstr>
      <vt:lpstr>OPS</vt:lpstr>
      <vt:lpstr>OPSM</vt:lpstr>
      <vt:lpstr>PADOE</vt:lpstr>
      <vt:lpstr>PAP</vt:lpstr>
      <vt:lpstr>PCPAD</vt:lpstr>
      <vt:lpstr>PHARMACEUTICAL</vt:lpstr>
      <vt:lpstr>PO_</vt:lpstr>
      <vt:lpstr>POWER</vt:lpstr>
      <vt:lpstr>PPAC</vt:lpstr>
      <vt:lpstr>PRACOWNICY</vt:lpstr>
      <vt:lpstr>PS</vt:lpstr>
      <vt:lpstr>PU</vt:lpstr>
      <vt:lpstr>PWU</vt:lpstr>
      <vt:lpstr>RAS</vt:lpstr>
      <vt:lpstr>REAAAS</vt:lpstr>
      <vt:lpstr>Segmenty!sektory</vt:lpstr>
      <vt:lpstr>'Segmenty (2)'!sektory</vt:lpstr>
      <vt:lpstr>TA</vt:lpstr>
      <vt:lpstr>TAS</vt:lpstr>
      <vt:lpstr>UPSTREAM</vt:lpstr>
      <vt:lpstr>WRT</vt:lpstr>
      <vt:lpstr>WRTF</vt:lpstr>
      <vt:lpstr>WRTN</vt:lpstr>
      <vt:lpstr>Wskaźniki</vt:lpstr>
      <vt:lpstr>Wynajem</vt:lpstr>
      <vt:lpstr>Wynajem2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Bronkowski Kamil</dc:creator>
  <cp:lastModifiedBy>NIEMCZAK Aneta</cp:lastModifiedBy>
  <cp:lastPrinted>2017-12-08T12:34:17Z</cp:lastPrinted>
  <dcterms:created xsi:type="dcterms:W3CDTF">2007-12-06T08:53:21Z</dcterms:created>
  <dcterms:modified xsi:type="dcterms:W3CDTF">2018-04-09T12:45:57Z</dcterms:modified>
</cp:coreProperties>
</file>